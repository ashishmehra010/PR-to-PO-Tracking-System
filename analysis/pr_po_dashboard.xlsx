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\Downloads\"/>
    </mc:Choice>
  </mc:AlternateContent>
  <xr:revisionPtr revIDLastSave="0" documentId="13_ncr:9_{951D96B4-EFA9-43B0-A10C-DAA502A5D67D}" xr6:coauthVersionLast="47" xr6:coauthVersionMax="47" xr10:uidLastSave="{00000000-0000-0000-0000-000000000000}"/>
  <bookViews>
    <workbookView xWindow="-110" yWindow="-110" windowWidth="19420" windowHeight="10300" activeTab="2" xr2:uid="{22FC7EB2-FEAB-4898-9DB9-2D17518D0FC0}"/>
  </bookViews>
  <sheets>
    <sheet name="Status Summary" sheetId="5" r:id="rId1"/>
    <sheet name="SLA Performance" sheetId="6" r:id="rId2"/>
    <sheet name="Department Cycle Time" sheetId="7" r:id="rId3"/>
    <sheet name="Raw_Data" sheetId="1" r:id="rId4"/>
    <sheet name="Calculations" sheetId="2" r:id="rId5"/>
    <sheet name="Pivot_Summary" sheetId="3" r:id="rId6"/>
    <sheet name="Dashboard" sheetId="4" r:id="rId7"/>
  </sheets>
  <calcPr calcId="0"/>
  <pivotCaches>
    <pivotCache cacheId="7" r:id="rId8"/>
  </pivotCaches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D3" i="4"/>
  <c r="C3" i="4"/>
  <c r="B3" i="4"/>
  <c r="K10" i="1"/>
  <c r="K11" i="1"/>
  <c r="K12" i="1"/>
  <c r="K13" i="1"/>
  <c r="K14" i="1"/>
  <c r="K15" i="1"/>
  <c r="K16" i="1"/>
  <c r="K17" i="1"/>
  <c r="K20" i="1"/>
  <c r="K21" i="1"/>
  <c r="K22" i="1"/>
  <c r="K23" i="1"/>
  <c r="K24" i="1"/>
  <c r="K25" i="1"/>
  <c r="K26" i="1"/>
  <c r="K27" i="1"/>
  <c r="K28" i="1"/>
  <c r="K30" i="1"/>
  <c r="K33" i="1"/>
  <c r="K34" i="1"/>
  <c r="K35" i="1"/>
  <c r="K36" i="1"/>
  <c r="K37" i="1"/>
  <c r="K38" i="1"/>
  <c r="K39" i="1"/>
  <c r="K40" i="1"/>
  <c r="K44" i="1"/>
  <c r="K45" i="1"/>
  <c r="K46" i="1"/>
  <c r="K47" i="1"/>
  <c r="K48" i="1"/>
  <c r="K49" i="1"/>
  <c r="K50" i="1"/>
  <c r="K51" i="1"/>
  <c r="K3" i="1"/>
  <c r="K4" i="1"/>
  <c r="K7" i="1"/>
  <c r="K8" i="1"/>
  <c r="K9" i="1"/>
  <c r="J2" i="1"/>
  <c r="K2" i="1" s="1"/>
  <c r="J3" i="1"/>
  <c r="J4" i="1"/>
  <c r="J5" i="1"/>
  <c r="K5" i="1" s="1"/>
  <c r="J6" i="1"/>
  <c r="K6" i="1" s="1"/>
  <c r="J7" i="1"/>
  <c r="J8" i="1"/>
  <c r="J9" i="1"/>
  <c r="J10" i="1"/>
  <c r="J11" i="1"/>
  <c r="J12" i="1"/>
  <c r="J13" i="1"/>
  <c r="J14" i="1"/>
  <c r="J15" i="1"/>
  <c r="J16" i="1"/>
  <c r="J17" i="1"/>
  <c r="J18" i="1"/>
  <c r="K18" i="1" s="1"/>
  <c r="J19" i="1"/>
  <c r="K19" i="1" s="1"/>
  <c r="J20" i="1"/>
  <c r="J21" i="1"/>
  <c r="J22" i="1"/>
  <c r="J23" i="1"/>
  <c r="J24" i="1"/>
  <c r="J25" i="1"/>
  <c r="J26" i="1"/>
  <c r="J27" i="1"/>
  <c r="J28" i="1"/>
  <c r="J29" i="1"/>
  <c r="K29" i="1" s="1"/>
  <c r="J30" i="1"/>
  <c r="J31" i="1"/>
  <c r="K31" i="1" s="1"/>
  <c r="J32" i="1"/>
  <c r="K32" i="1" s="1"/>
  <c r="J33" i="1"/>
  <c r="J34" i="1"/>
  <c r="J35" i="1"/>
  <c r="J36" i="1"/>
  <c r="J37" i="1"/>
  <c r="J38" i="1"/>
  <c r="J39" i="1"/>
  <c r="J40" i="1"/>
  <c r="J41" i="1"/>
  <c r="K41" i="1" s="1"/>
  <c r="J42" i="1"/>
  <c r="K42" i="1" s="1"/>
  <c r="J43" i="1"/>
  <c r="K43" i="1" s="1"/>
  <c r="J44" i="1"/>
  <c r="J45" i="1"/>
  <c r="J46" i="1"/>
  <c r="J47" i="1"/>
  <c r="J48" i="1"/>
  <c r="J49" i="1"/>
  <c r="J50" i="1"/>
  <c r="J5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</calcChain>
</file>

<file path=xl/sharedStrings.xml><?xml version="1.0" encoding="utf-8"?>
<sst xmlns="http://schemas.openxmlformats.org/spreadsheetml/2006/main" count="284" uniqueCount="162">
  <si>
    <t>PR_ID</t>
  </si>
  <si>
    <t>Department</t>
  </si>
  <si>
    <t>Item</t>
  </si>
  <si>
    <t>PR_Date</t>
  </si>
  <si>
    <t>Approval_Date</t>
  </si>
  <si>
    <t>PO_Date</t>
  </si>
  <si>
    <t>Vendor</t>
  </si>
  <si>
    <t>Status</t>
  </si>
  <si>
    <t>PR001</t>
  </si>
  <si>
    <t>Operations</t>
  </si>
  <si>
    <t>Packaging Boxes</t>
  </si>
  <si>
    <t>ABC Packaging</t>
  </si>
  <si>
    <t>Completed</t>
  </si>
  <si>
    <t>PR002</t>
  </si>
  <si>
    <t>Logistics</t>
  </si>
  <si>
    <t>Transport Services</t>
  </si>
  <si>
    <t>XYZ Logistics</t>
  </si>
  <si>
    <t>PR003</t>
  </si>
  <si>
    <t>Admin</t>
  </si>
  <si>
    <t>Office Chairs</t>
  </si>
  <si>
    <t>OfficeKart</t>
  </si>
  <si>
    <t>Pending</t>
  </si>
  <si>
    <t>PR004</t>
  </si>
  <si>
    <t>IT</t>
  </si>
  <si>
    <t>Software License</t>
  </si>
  <si>
    <t>IT Solutions</t>
  </si>
  <si>
    <t>PR005</t>
  </si>
  <si>
    <t>Marketing</t>
  </si>
  <si>
    <t>Printing Banners</t>
  </si>
  <si>
    <t>Printo</t>
  </si>
  <si>
    <t>PR006</t>
  </si>
  <si>
    <t>Housekeeping Service</t>
  </si>
  <si>
    <t>CleanPro</t>
  </si>
  <si>
    <t>PR007</t>
  </si>
  <si>
    <t>Food Packaging</t>
  </si>
  <si>
    <t>GreenPack</t>
  </si>
  <si>
    <t>PR008</t>
  </si>
  <si>
    <t>Last Mile Delivery</t>
  </si>
  <si>
    <t>RapidLogix</t>
  </si>
  <si>
    <t>PR009</t>
  </si>
  <si>
    <t>Laptop Procurement</t>
  </si>
  <si>
    <t>TechNova</t>
  </si>
  <si>
    <t>PR010</t>
  </si>
  <si>
    <t>Stationery Items</t>
  </si>
  <si>
    <t>PaperWorld</t>
  </si>
  <si>
    <t>PR011</t>
  </si>
  <si>
    <t>PackRight</t>
  </si>
  <si>
    <t>PR012</t>
  </si>
  <si>
    <t>Warehouse Transport</t>
  </si>
  <si>
    <t>Metro Logistics</t>
  </si>
  <si>
    <t>PR013</t>
  </si>
  <si>
    <t>Office Desks</t>
  </si>
  <si>
    <t>DeskWorld</t>
  </si>
  <si>
    <t>PR014</t>
  </si>
  <si>
    <t>Cloud Subscription</t>
  </si>
  <si>
    <t>CloudEdge</t>
  </si>
  <si>
    <t>PR015</t>
  </si>
  <si>
    <t>Promo Flyers</t>
  </si>
  <si>
    <t>BrandWorks</t>
  </si>
  <si>
    <t>PR016</t>
  </si>
  <si>
    <t>Sanitation Supplies</t>
  </si>
  <si>
    <t>HygienePlus</t>
  </si>
  <si>
    <t>PR017</t>
  </si>
  <si>
    <t>Eco Packaging</t>
  </si>
  <si>
    <t>EcoPack</t>
  </si>
  <si>
    <t>PR018</t>
  </si>
  <si>
    <t>Express Delivery</t>
  </si>
  <si>
    <t>QuickMove Logistics</t>
  </si>
  <si>
    <t>PR019</t>
  </si>
  <si>
    <t>Network Hardware</t>
  </si>
  <si>
    <t>CyberSys</t>
  </si>
  <si>
    <t>PR020</t>
  </si>
  <si>
    <t>Printer Paper</t>
  </si>
  <si>
    <t>StationeryHub</t>
  </si>
  <si>
    <t>PR021</t>
  </si>
  <si>
    <t>FlexiPack</t>
  </si>
  <si>
    <t>PR022</t>
  </si>
  <si>
    <t>Cold Chain Transport</t>
  </si>
  <si>
    <t>FastTrack Logistics</t>
  </si>
  <si>
    <t>PR023</t>
  </si>
  <si>
    <t>Office Storage Racks</t>
  </si>
  <si>
    <t>OfficeEase</t>
  </si>
  <si>
    <t>PR024</t>
  </si>
  <si>
    <t>Security Software</t>
  </si>
  <si>
    <t>SoftServe IT</t>
  </si>
  <si>
    <t>PR025</t>
  </si>
  <si>
    <t>Brand Posters</t>
  </si>
  <si>
    <t>MediaPrint</t>
  </si>
  <si>
    <t>PR026</t>
  </si>
  <si>
    <t>Floor Cleaning Service</t>
  </si>
  <si>
    <t>SparkClean</t>
  </si>
  <si>
    <t>PR027</t>
  </si>
  <si>
    <t>Custom Packaging</t>
  </si>
  <si>
    <t>PrimePack</t>
  </si>
  <si>
    <t>PR028</t>
  </si>
  <si>
    <t>Intercity Transport</t>
  </si>
  <si>
    <t>CargoPlus</t>
  </si>
  <si>
    <t>PR029</t>
  </si>
  <si>
    <t>Server Maintenance</t>
  </si>
  <si>
    <t>NextGen Tech</t>
  </si>
  <si>
    <t>PR030</t>
  </si>
  <si>
    <t>Office Files</t>
  </si>
  <si>
    <t>SupplyNest</t>
  </si>
  <si>
    <t>PR031</t>
  </si>
  <si>
    <t>SafeWrap</t>
  </si>
  <si>
    <t>PR032</t>
  </si>
  <si>
    <t>Route Optimization Service</t>
  </si>
  <si>
    <t>FleetX Logistics</t>
  </si>
  <si>
    <t>PR033</t>
  </si>
  <si>
    <t>PR034</t>
  </si>
  <si>
    <t>DevOps Tools License</t>
  </si>
  <si>
    <t>InnovaIT</t>
  </si>
  <si>
    <t>PR035</t>
  </si>
  <si>
    <t>Campaign Banners</t>
  </si>
  <si>
    <t>AdSpark</t>
  </si>
  <si>
    <t>PR036</t>
  </si>
  <si>
    <t>Washroom Maintenance</t>
  </si>
  <si>
    <t>CarePlus Services</t>
  </si>
  <si>
    <t>PR037</t>
  </si>
  <si>
    <t>Reusable Packaging</t>
  </si>
  <si>
    <t>PR038</t>
  </si>
  <si>
    <t>Emergency Transport</t>
  </si>
  <si>
    <t>TransMove</t>
  </si>
  <si>
    <t>PR039</t>
  </si>
  <si>
    <t>Data Backup Services</t>
  </si>
  <si>
    <t>CodeWave</t>
  </si>
  <si>
    <t>PR040</t>
  </si>
  <si>
    <t>Printer Ink</t>
  </si>
  <si>
    <t>PaperLine</t>
  </si>
  <si>
    <t>PR041</t>
  </si>
  <si>
    <t>QuickPack</t>
  </si>
  <si>
    <t>PR042</t>
  </si>
  <si>
    <t>PR043</t>
  </si>
  <si>
    <t>Office Tables</t>
  </si>
  <si>
    <t>PR044</t>
  </si>
  <si>
    <t>Software Renewal</t>
  </si>
  <si>
    <t>PR045</t>
  </si>
  <si>
    <t>Event Standees</t>
  </si>
  <si>
    <t>VisualEdge</t>
  </si>
  <si>
    <t>PR046</t>
  </si>
  <si>
    <t>Office Cleaning</t>
  </si>
  <si>
    <t>CleanMax</t>
  </si>
  <si>
    <t>PR047</t>
  </si>
  <si>
    <t>PR048</t>
  </si>
  <si>
    <t>City Distribution</t>
  </si>
  <si>
    <t>PR049</t>
  </si>
  <si>
    <t>Firewall Upgrade</t>
  </si>
  <si>
    <t>PR050</t>
  </si>
  <si>
    <t>Office Stationery</t>
  </si>
  <si>
    <t>Approval_Delay_Days</t>
  </si>
  <si>
    <t>PR_to_PO_Cycle_Days</t>
  </si>
  <si>
    <t>SLA_Status</t>
  </si>
  <si>
    <t>Row Labels</t>
  </si>
  <si>
    <t>Grand Total</t>
  </si>
  <si>
    <t>Count of PR_ID</t>
  </si>
  <si>
    <t>On Time</t>
  </si>
  <si>
    <t>SLA Breach</t>
  </si>
  <si>
    <t>Count of PR_to_PO_Cycle_Days</t>
  </si>
  <si>
    <t>Total PRs</t>
  </si>
  <si>
    <t>Completed PRs</t>
  </si>
  <si>
    <t>Pending PRs</t>
  </si>
  <si>
    <t>Valid_Cycle_Days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</si>
</sst>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1" formatCode="0"/>
    </dxf>
    <dxf>
      <numFmt numFmtId="1" formatCode="0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[pr_po_dashboard.xlsx]Status Summary!PivotTable1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801181102362205"/>
          <c:y val="0.25402559055118112"/>
          <c:w val="0.56235848643919506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'Status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Summary'!$A$4:$A$6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'Status Summary'!$B$4:$B$6</c:f>
              <c:numCache>
                <c:formatCode>General</c:formatCode>
                <c:ptCount val="2"/>
                <c:pt idx="0">
                  <c:v>35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4-4C55-8F9F-D1DEEAB06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0058543"/>
        <c:axId val="1000056143"/>
      </c:barChart>
      <c:catAx>
        <c:axId val="1000058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56143"/>
        <c:crosses val="autoZero"/>
        <c:auto val="1"/>
        <c:lblAlgn val="ctr"/>
        <c:lblOffset val="100"/>
        <c:noMultiLvlLbl val="0"/>
      </c:catAx>
      <c:valAx>
        <c:axId val="100005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5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[pr_po_dashboard.xlsx]SLA Performance!PivotTable2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'SLA Performance'!$B$3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'SLA Performance'!$A$4:$A$7</c:f>
              <c:strCache>
                <c:ptCount val="3"/>
                <c:pt idx="0">
                  <c:v>On Time</c:v>
                </c:pt>
                <c:pt idx="1">
                  <c:v>Pending</c:v>
                </c:pt>
                <c:pt idx="2">
                  <c:v>SLA Breach</c:v>
                </c:pt>
              </c:strCache>
            </c:strRef>
          </c:cat>
          <c:val>
            <c:numRef>
              <c:f>'SLA Performance'!$B$4:$B$7</c:f>
              <c:numCache>
                <c:formatCode>General</c:formatCode>
                <c:ptCount val="3"/>
                <c:pt idx="0">
                  <c:v>7</c:v>
                </c:pt>
                <c:pt idx="1">
                  <c:v>15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C-4D50-B7B3-F92EAEE4C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[pr_po_dashboard.xlsx]Department Cycle Time!PivotTable3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Cycle Time'!$B$3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Cycle Time'!$A$4:$A$9</c:f>
              <c:strCache>
                <c:ptCount val="5"/>
                <c:pt idx="0">
                  <c:v>Admin</c:v>
                </c:pt>
                <c:pt idx="1">
                  <c:v>IT</c:v>
                </c:pt>
                <c:pt idx="2">
                  <c:v>Logistics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'Department Cycle Time'!$B$4:$B$9</c:f>
              <c:numCache>
                <c:formatCode>General</c:formatCode>
                <c:ptCount val="5"/>
                <c:pt idx="0">
                  <c:v>15</c:v>
                </c:pt>
                <c:pt idx="1">
                  <c:v>10</c:v>
                </c:pt>
                <c:pt idx="2">
                  <c:v>10</c:v>
                </c:pt>
                <c:pt idx="3">
                  <c:v>5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E-468A-8658-269899BCF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056623"/>
        <c:axId val="1000047503"/>
      </c:barChart>
      <c:catAx>
        <c:axId val="100005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47503"/>
        <c:crosses val="autoZero"/>
        <c:auto val="1"/>
        <c:lblAlgn val="ctr"/>
        <c:lblOffset val="100"/>
        <c:noMultiLvlLbl val="0"/>
      </c:catAx>
      <c:valAx>
        <c:axId val="100004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5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387350</xdr:colOff>
      <xdr:row>1</xdr:row>
      <xdr:rowOff>101600</xdr:rowOff>
    </xdr:from>
    <xdr:to>
      <xdr:col>10</xdr:col>
      <xdr:colOff>82550</xdr:colOff>
      <xdr:row>16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73DA68-3006-3A97-AAAF-5217BF546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</xdr:row>
      <xdr:rowOff>76200</xdr:rowOff>
    </xdr:from>
    <xdr:to>
      <xdr:col>7</xdr:col>
      <xdr:colOff>393700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A12722-65EC-F614-C423-B0C651E25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2</xdr:row>
      <xdr:rowOff>25400</xdr:rowOff>
    </xdr:from>
    <xdr:to>
      <xdr:col>8</xdr:col>
      <xdr:colOff>374650</xdr:colOff>
      <xdr:row>15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6144D4-38D4-4EAF-4265-6E1A15100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ish mehra" refreshedDate="46014.151232523145" createdVersion="8" refreshedVersion="8" minRefreshableVersion="3" recordCount="50" xr:uid="{78934A7F-F2DB-4C59-AEE4-D21E063614DE}">
  <cacheSource type="worksheet">
    <worksheetSource name="Table1"/>
  </cacheSource>
  <cacheFields count="11">
    <cacheField name="PR_ID" numFmtId="0">
      <sharedItems/>
    </cacheField>
    <cacheField name="Department" numFmtId="0">
      <sharedItems count="5">
        <s v="Operations"/>
        <s v="Logistics"/>
        <s v="Admin"/>
        <s v="IT"/>
        <s v="Marketing"/>
      </sharedItems>
    </cacheField>
    <cacheField name="Item" numFmtId="0">
      <sharedItems/>
    </cacheField>
    <cacheField name="PR_Date" numFmtId="14">
      <sharedItems containsSemiMixedTypes="0" containsNonDate="0" containsDate="1" containsString="0" minDate="2024-01-02T00:00:00" maxDate="2024-05-19T00:00:00"/>
    </cacheField>
    <cacheField name="Approval_Date" numFmtId="14">
      <sharedItems containsSemiMixedTypes="0" containsNonDate="0" containsDate="1" containsString="0" minDate="2024-01-04T00:00:00" maxDate="2024-05-23T00:00:00"/>
    </cacheField>
    <cacheField name="PO_Date" numFmtId="0">
      <sharedItems containsNonDate="0" containsDate="1" containsString="0" containsBlank="1" minDate="2024-01-05T00:00:00" maxDate="2024-05-26T00:00:00"/>
    </cacheField>
    <cacheField name="Vendor" numFmtId="0">
      <sharedItems/>
    </cacheField>
    <cacheField name="Status" numFmtId="0">
      <sharedItems count="2">
        <s v="Completed"/>
        <s v="Pending"/>
      </sharedItems>
    </cacheField>
    <cacheField name="Approval_Delay_Days" numFmtId="1">
      <sharedItems containsSemiMixedTypes="0" containsString="0" containsNumber="1" containsInteger="1" minValue="2" maxValue="4"/>
    </cacheField>
    <cacheField name="PR_to_PO_Cycle_Days" numFmtId="1">
      <sharedItems containsMixedTypes="1" containsNumber="1" containsInteger="1" minValue="3" maxValue="8"/>
    </cacheField>
    <cacheField name="SLA_Status" numFmtId="0">
      <sharedItems count="3">
        <s v="On Time"/>
        <s v="Pending"/>
        <s v="SLA Breac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PR001"/>
    <x v="0"/>
    <s v="Packaging Boxes"/>
    <d v="2024-01-02T00:00:00"/>
    <d v="2024-01-04T00:00:00"/>
    <d v="2024-01-05T00:00:00"/>
    <s v="ABC Packaging"/>
    <x v="0"/>
    <n v="2"/>
    <n v="3"/>
    <x v="0"/>
  </r>
  <r>
    <s v="PR002"/>
    <x v="1"/>
    <s v="Transport Services"/>
    <d v="2024-01-03T00:00:00"/>
    <d v="2024-01-06T00:00:00"/>
    <d v="2024-01-08T00:00:00"/>
    <s v="XYZ Logistics"/>
    <x v="0"/>
    <n v="3"/>
    <n v="5"/>
    <x v="0"/>
  </r>
  <r>
    <s v="PR003"/>
    <x v="2"/>
    <s v="Office Chairs"/>
    <d v="2024-01-05T00:00:00"/>
    <d v="2024-01-09T00:00:00"/>
    <m/>
    <s v="OfficeKart"/>
    <x v="1"/>
    <n v="4"/>
    <s v=""/>
    <x v="1"/>
  </r>
  <r>
    <s v="PR004"/>
    <x v="3"/>
    <s v="Software License"/>
    <d v="2024-01-07T00:00:00"/>
    <d v="2024-01-10T00:00:00"/>
    <d v="2024-01-13T00:00:00"/>
    <s v="IT Solutions"/>
    <x v="0"/>
    <n v="3"/>
    <n v="6"/>
    <x v="2"/>
  </r>
  <r>
    <s v="PR005"/>
    <x v="4"/>
    <s v="Printing Banners"/>
    <d v="2024-01-09T00:00:00"/>
    <d v="2024-01-12T00:00:00"/>
    <d v="2024-01-15T00:00:00"/>
    <s v="Printo"/>
    <x v="0"/>
    <n v="3"/>
    <n v="6"/>
    <x v="2"/>
  </r>
  <r>
    <s v="PR006"/>
    <x v="2"/>
    <s v="Housekeeping Service"/>
    <d v="2024-01-11T00:00:00"/>
    <d v="2024-01-15T00:00:00"/>
    <m/>
    <s v="CleanPro"/>
    <x v="1"/>
    <n v="4"/>
    <s v=""/>
    <x v="1"/>
  </r>
  <r>
    <s v="PR007"/>
    <x v="0"/>
    <s v="Food Packaging"/>
    <d v="2024-01-14T00:00:00"/>
    <d v="2024-01-16T00:00:00"/>
    <d v="2024-01-18T00:00:00"/>
    <s v="GreenPack"/>
    <x v="0"/>
    <n v="2"/>
    <n v="4"/>
    <x v="0"/>
  </r>
  <r>
    <s v="PR008"/>
    <x v="1"/>
    <s v="Last Mile Delivery"/>
    <d v="2024-01-16T00:00:00"/>
    <d v="2024-01-20T00:00:00"/>
    <d v="2024-01-23T00:00:00"/>
    <s v="RapidLogix"/>
    <x v="0"/>
    <n v="4"/>
    <n v="7"/>
    <x v="2"/>
  </r>
  <r>
    <s v="PR009"/>
    <x v="3"/>
    <s v="Laptop Procurement"/>
    <d v="2024-01-18T00:00:00"/>
    <d v="2024-01-22T00:00:00"/>
    <m/>
    <s v="TechNova"/>
    <x v="1"/>
    <n v="4"/>
    <s v=""/>
    <x v="1"/>
  </r>
  <r>
    <s v="PR010"/>
    <x v="2"/>
    <s v="Stationery Items"/>
    <d v="2024-01-20T00:00:00"/>
    <d v="2024-01-24T00:00:00"/>
    <d v="2024-01-26T00:00:00"/>
    <s v="PaperWorld"/>
    <x v="0"/>
    <n v="4"/>
    <n v="6"/>
    <x v="2"/>
  </r>
  <r>
    <s v="PR011"/>
    <x v="0"/>
    <s v="Packaging Boxes"/>
    <d v="2024-02-01T00:00:00"/>
    <d v="2024-02-03T00:00:00"/>
    <d v="2024-02-05T00:00:00"/>
    <s v="PackRight"/>
    <x v="0"/>
    <n v="2"/>
    <n v="4"/>
    <x v="0"/>
  </r>
  <r>
    <s v="PR012"/>
    <x v="1"/>
    <s v="Warehouse Transport"/>
    <d v="2024-02-02T00:00:00"/>
    <d v="2024-02-06T00:00:00"/>
    <d v="2024-02-09T00:00:00"/>
    <s v="Metro Logistics"/>
    <x v="0"/>
    <n v="4"/>
    <n v="7"/>
    <x v="2"/>
  </r>
  <r>
    <s v="PR013"/>
    <x v="2"/>
    <s v="Office Desks"/>
    <d v="2024-02-04T00:00:00"/>
    <d v="2024-02-08T00:00:00"/>
    <m/>
    <s v="DeskWorld"/>
    <x v="1"/>
    <n v="4"/>
    <s v=""/>
    <x v="1"/>
  </r>
  <r>
    <s v="PR014"/>
    <x v="3"/>
    <s v="Cloud Subscription"/>
    <d v="2024-02-06T00:00:00"/>
    <d v="2024-02-10T00:00:00"/>
    <d v="2024-02-14T00:00:00"/>
    <s v="CloudEdge"/>
    <x v="0"/>
    <n v="4"/>
    <n v="8"/>
    <x v="2"/>
  </r>
  <r>
    <s v="PR015"/>
    <x v="4"/>
    <s v="Promo Flyers"/>
    <d v="2024-02-08T00:00:00"/>
    <d v="2024-02-12T00:00:00"/>
    <d v="2024-02-15T00:00:00"/>
    <s v="BrandWorks"/>
    <x v="0"/>
    <n v="4"/>
    <n v="7"/>
    <x v="2"/>
  </r>
  <r>
    <s v="PR016"/>
    <x v="2"/>
    <s v="Sanitation Supplies"/>
    <d v="2024-02-10T00:00:00"/>
    <d v="2024-02-14T00:00:00"/>
    <m/>
    <s v="HygienePlus"/>
    <x v="1"/>
    <n v="4"/>
    <s v=""/>
    <x v="1"/>
  </r>
  <r>
    <s v="PR017"/>
    <x v="0"/>
    <s v="Eco Packaging"/>
    <d v="2024-02-12T00:00:00"/>
    <d v="2024-02-15T00:00:00"/>
    <d v="2024-02-18T00:00:00"/>
    <s v="EcoPack"/>
    <x v="0"/>
    <n v="3"/>
    <n v="6"/>
    <x v="2"/>
  </r>
  <r>
    <s v="PR018"/>
    <x v="1"/>
    <s v="Express Delivery"/>
    <d v="2024-02-14T00:00:00"/>
    <d v="2024-02-18T00:00:00"/>
    <d v="2024-02-21T00:00:00"/>
    <s v="QuickMove Logistics"/>
    <x v="0"/>
    <n v="4"/>
    <n v="7"/>
    <x v="2"/>
  </r>
  <r>
    <s v="PR019"/>
    <x v="3"/>
    <s v="Network Hardware"/>
    <d v="2024-02-16T00:00:00"/>
    <d v="2024-02-20T00:00:00"/>
    <m/>
    <s v="CyberSys"/>
    <x v="1"/>
    <n v="4"/>
    <s v=""/>
    <x v="1"/>
  </r>
  <r>
    <s v="PR020"/>
    <x v="2"/>
    <s v="Printer Paper"/>
    <d v="2024-02-18T00:00:00"/>
    <d v="2024-02-22T00:00:00"/>
    <d v="2024-02-25T00:00:00"/>
    <s v="StationeryHub"/>
    <x v="0"/>
    <n v="4"/>
    <n v="7"/>
    <x v="2"/>
  </r>
  <r>
    <s v="PR021"/>
    <x v="0"/>
    <s v="Packaging Boxes"/>
    <d v="2024-03-01T00:00:00"/>
    <d v="2024-03-04T00:00:00"/>
    <d v="2024-03-06T00:00:00"/>
    <s v="FlexiPack"/>
    <x v="0"/>
    <n v="3"/>
    <n v="5"/>
    <x v="0"/>
  </r>
  <r>
    <s v="PR022"/>
    <x v="1"/>
    <s v="Cold Chain Transport"/>
    <d v="2024-03-02T00:00:00"/>
    <d v="2024-03-06T00:00:00"/>
    <d v="2024-03-09T00:00:00"/>
    <s v="FastTrack Logistics"/>
    <x v="0"/>
    <n v="4"/>
    <n v="7"/>
    <x v="2"/>
  </r>
  <r>
    <s v="PR023"/>
    <x v="2"/>
    <s v="Office Storage Racks"/>
    <d v="2024-03-04T00:00:00"/>
    <d v="2024-03-08T00:00:00"/>
    <m/>
    <s v="OfficeEase"/>
    <x v="1"/>
    <n v="4"/>
    <s v=""/>
    <x v="1"/>
  </r>
  <r>
    <s v="PR024"/>
    <x v="3"/>
    <s v="Security Software"/>
    <d v="2024-03-06T00:00:00"/>
    <d v="2024-03-10T00:00:00"/>
    <d v="2024-03-14T00:00:00"/>
    <s v="SoftServe IT"/>
    <x v="0"/>
    <n v="4"/>
    <n v="8"/>
    <x v="2"/>
  </r>
  <r>
    <s v="PR025"/>
    <x v="4"/>
    <s v="Brand Posters"/>
    <d v="2024-03-08T00:00:00"/>
    <d v="2024-03-12T00:00:00"/>
    <d v="2024-03-15T00:00:00"/>
    <s v="MediaPrint"/>
    <x v="0"/>
    <n v="4"/>
    <n v="7"/>
    <x v="2"/>
  </r>
  <r>
    <s v="PR026"/>
    <x v="2"/>
    <s v="Floor Cleaning Service"/>
    <d v="2024-03-10T00:00:00"/>
    <d v="2024-03-14T00:00:00"/>
    <m/>
    <s v="SparkClean"/>
    <x v="1"/>
    <n v="4"/>
    <s v=""/>
    <x v="1"/>
  </r>
  <r>
    <s v="PR027"/>
    <x v="0"/>
    <s v="Custom Packaging"/>
    <d v="2024-03-12T00:00:00"/>
    <d v="2024-03-15T00:00:00"/>
    <d v="2024-03-18T00:00:00"/>
    <s v="PrimePack"/>
    <x v="0"/>
    <n v="3"/>
    <n v="6"/>
    <x v="2"/>
  </r>
  <r>
    <s v="PR028"/>
    <x v="1"/>
    <s v="Intercity Transport"/>
    <d v="2024-03-14T00:00:00"/>
    <d v="2024-03-18T00:00:00"/>
    <d v="2024-03-21T00:00:00"/>
    <s v="CargoPlus"/>
    <x v="0"/>
    <n v="4"/>
    <n v="7"/>
    <x v="2"/>
  </r>
  <r>
    <s v="PR029"/>
    <x v="3"/>
    <s v="Server Maintenance"/>
    <d v="2024-03-16T00:00:00"/>
    <d v="2024-03-20T00:00:00"/>
    <m/>
    <s v="NextGen Tech"/>
    <x v="1"/>
    <n v="4"/>
    <s v=""/>
    <x v="1"/>
  </r>
  <r>
    <s v="PR030"/>
    <x v="2"/>
    <s v="Office Files"/>
    <d v="2024-03-18T00:00:00"/>
    <d v="2024-03-22T00:00:00"/>
    <d v="2024-03-25T00:00:00"/>
    <s v="SupplyNest"/>
    <x v="0"/>
    <n v="4"/>
    <n v="7"/>
    <x v="2"/>
  </r>
  <r>
    <s v="PR031"/>
    <x v="0"/>
    <s v="Packaging Boxes"/>
    <d v="2024-04-01T00:00:00"/>
    <d v="2024-04-03T00:00:00"/>
    <d v="2024-04-05T00:00:00"/>
    <s v="SafeWrap"/>
    <x v="0"/>
    <n v="2"/>
    <n v="4"/>
    <x v="0"/>
  </r>
  <r>
    <s v="PR032"/>
    <x v="1"/>
    <s v="Route Optimization Service"/>
    <d v="2024-04-02T00:00:00"/>
    <d v="2024-04-06T00:00:00"/>
    <d v="2024-04-09T00:00:00"/>
    <s v="FleetX Logistics"/>
    <x v="0"/>
    <n v="4"/>
    <n v="7"/>
    <x v="2"/>
  </r>
  <r>
    <s v="PR033"/>
    <x v="2"/>
    <s v="Office Chairs"/>
    <d v="2024-04-04T00:00:00"/>
    <d v="2024-04-08T00:00:00"/>
    <m/>
    <s v="OfficeKart"/>
    <x v="1"/>
    <n v="4"/>
    <s v=""/>
    <x v="1"/>
  </r>
  <r>
    <s v="PR034"/>
    <x v="3"/>
    <s v="DevOps Tools License"/>
    <d v="2024-04-06T00:00:00"/>
    <d v="2024-04-10T00:00:00"/>
    <d v="2024-04-14T00:00:00"/>
    <s v="InnovaIT"/>
    <x v="0"/>
    <n v="4"/>
    <n v="8"/>
    <x v="2"/>
  </r>
  <r>
    <s v="PR035"/>
    <x v="4"/>
    <s v="Campaign Banners"/>
    <d v="2024-04-08T00:00:00"/>
    <d v="2024-04-12T00:00:00"/>
    <d v="2024-04-15T00:00:00"/>
    <s v="AdSpark"/>
    <x v="0"/>
    <n v="4"/>
    <n v="7"/>
    <x v="2"/>
  </r>
  <r>
    <s v="PR036"/>
    <x v="2"/>
    <s v="Washroom Maintenance"/>
    <d v="2024-04-10T00:00:00"/>
    <d v="2024-04-14T00:00:00"/>
    <m/>
    <s v="CarePlus Services"/>
    <x v="1"/>
    <n v="4"/>
    <s v=""/>
    <x v="1"/>
  </r>
  <r>
    <s v="PR037"/>
    <x v="0"/>
    <s v="Reusable Packaging"/>
    <d v="2024-04-12T00:00:00"/>
    <d v="2024-04-15T00:00:00"/>
    <d v="2024-04-18T00:00:00"/>
    <s v="SafeWrap"/>
    <x v="0"/>
    <n v="3"/>
    <n v="6"/>
    <x v="2"/>
  </r>
  <r>
    <s v="PR038"/>
    <x v="1"/>
    <s v="Emergency Transport"/>
    <d v="2024-04-14T00:00:00"/>
    <d v="2024-04-18T00:00:00"/>
    <d v="2024-04-21T00:00:00"/>
    <s v="TransMove"/>
    <x v="0"/>
    <n v="4"/>
    <n v="7"/>
    <x v="2"/>
  </r>
  <r>
    <s v="PR039"/>
    <x v="3"/>
    <s v="Data Backup Services"/>
    <d v="2024-04-16T00:00:00"/>
    <d v="2024-04-20T00:00:00"/>
    <m/>
    <s v="CodeWave"/>
    <x v="1"/>
    <n v="4"/>
    <s v=""/>
    <x v="1"/>
  </r>
  <r>
    <s v="PR040"/>
    <x v="2"/>
    <s v="Printer Ink"/>
    <d v="2024-04-18T00:00:00"/>
    <d v="2024-04-22T00:00:00"/>
    <d v="2024-04-25T00:00:00"/>
    <s v="PaperLine"/>
    <x v="0"/>
    <n v="4"/>
    <n v="7"/>
    <x v="2"/>
  </r>
  <r>
    <s v="PR041"/>
    <x v="0"/>
    <s v="Packaging Boxes"/>
    <d v="2024-05-01T00:00:00"/>
    <d v="2024-05-03T00:00:00"/>
    <d v="2024-05-06T00:00:00"/>
    <s v="QuickPack"/>
    <x v="0"/>
    <n v="2"/>
    <n v="5"/>
    <x v="0"/>
  </r>
  <r>
    <s v="PR042"/>
    <x v="1"/>
    <s v="Last Mile Delivery"/>
    <d v="2024-05-02T00:00:00"/>
    <d v="2024-05-06T00:00:00"/>
    <d v="2024-05-09T00:00:00"/>
    <s v="Metro Logistics"/>
    <x v="0"/>
    <n v="4"/>
    <n v="7"/>
    <x v="2"/>
  </r>
  <r>
    <s v="PR043"/>
    <x v="2"/>
    <s v="Office Tables"/>
    <d v="2024-05-04T00:00:00"/>
    <d v="2024-05-08T00:00:00"/>
    <m/>
    <s v="DeskWorld"/>
    <x v="1"/>
    <n v="4"/>
    <s v=""/>
    <x v="1"/>
  </r>
  <r>
    <s v="PR044"/>
    <x v="3"/>
    <s v="Software Renewal"/>
    <d v="2024-05-06T00:00:00"/>
    <d v="2024-05-10T00:00:00"/>
    <d v="2024-05-14T00:00:00"/>
    <s v="TechNova"/>
    <x v="0"/>
    <n v="4"/>
    <n v="8"/>
    <x v="2"/>
  </r>
  <r>
    <s v="PR045"/>
    <x v="4"/>
    <s v="Event Standees"/>
    <d v="2024-05-08T00:00:00"/>
    <d v="2024-05-12T00:00:00"/>
    <d v="2024-05-15T00:00:00"/>
    <s v="VisualEdge"/>
    <x v="0"/>
    <n v="4"/>
    <n v="7"/>
    <x v="2"/>
  </r>
  <r>
    <s v="PR046"/>
    <x v="2"/>
    <s v="Office Cleaning"/>
    <d v="2024-05-10T00:00:00"/>
    <d v="2024-05-14T00:00:00"/>
    <m/>
    <s v="CleanMax"/>
    <x v="1"/>
    <n v="4"/>
    <s v=""/>
    <x v="1"/>
  </r>
  <r>
    <s v="PR047"/>
    <x v="0"/>
    <s v="Food Packaging"/>
    <d v="2024-05-12T00:00:00"/>
    <d v="2024-05-15T00:00:00"/>
    <d v="2024-05-18T00:00:00"/>
    <s v="GreenPack"/>
    <x v="0"/>
    <n v="3"/>
    <n v="6"/>
    <x v="2"/>
  </r>
  <r>
    <s v="PR048"/>
    <x v="1"/>
    <s v="City Distribution"/>
    <d v="2024-05-14T00:00:00"/>
    <d v="2024-05-18T00:00:00"/>
    <d v="2024-05-21T00:00:00"/>
    <s v="RapidLogix"/>
    <x v="0"/>
    <n v="4"/>
    <n v="7"/>
    <x v="2"/>
  </r>
  <r>
    <s v="PR049"/>
    <x v="3"/>
    <s v="Firewall Upgrade"/>
    <d v="2024-05-16T00:00:00"/>
    <d v="2024-05-20T00:00:00"/>
    <m/>
    <s v="CloudEdge"/>
    <x v="1"/>
    <n v="4"/>
    <s v=""/>
    <x v="1"/>
  </r>
  <r>
    <s v="PR050"/>
    <x v="2"/>
    <s v="Office Stationery"/>
    <d v="2024-05-18T00:00:00"/>
    <d v="2024-05-22T00:00:00"/>
    <d v="2024-05-25T00:00:00"/>
    <s v="StationeryHub"/>
    <x v="0"/>
    <n v="4"/>
    <n v="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D8EB9-8E71-4613-ACF3-D045FA682E8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11">
    <pivotField dataField="1" showAll="0"/>
    <pivotField showAll="0"/>
    <pivotField showAll="0"/>
    <pivotField numFmtId="14" showAll="0"/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  <pivotField numFmtId="1"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P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CDFAD-A27F-4A55-B2E1-14A3E9E6ED3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1">
    <pivotField dataField="1" showAll="0"/>
    <pivotField showAll="0"/>
    <pivotField showAll="0"/>
    <pivotField numFmtId="14" showAll="0"/>
    <pivotField numFmtId="14" showAll="0"/>
    <pivotField showAll="0"/>
    <pivotField showAll="0"/>
    <pivotField showAll="0"/>
    <pivotField numFmtId="1"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FF5E2-AAF0-45F4-B26A-3F4D18768D3E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1">
    <pivotField showAll="0"/>
    <pivotField axis="axisRow" showAll="0">
      <items count="6">
        <item x="2"/>
        <item x="3"/>
        <item x="1"/>
        <item x="4"/>
        <item x="0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numFmtId="1"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R_to_PO_Cycle_Days" fld="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B64138-1BD6-442F-9A10-490D63DD0C63}" name="Table1" displayName="Table1" ref="A1:L51" totalsRowShown="0">
  <autoFilter ref="A1:L51" xr:uid="{E0B64138-1BD6-442F-9A10-490D63DD0C63}"/>
  <tableColumns count="12">
    <tableColumn id="1" xr3:uid="{874AB657-2D8C-47BD-969E-A2827B743392}" name="PR_ID"/>
    <tableColumn id="2" xr3:uid="{629B8F09-FD59-4A51-9D7D-2899F0657CB0}" name="Department"/>
    <tableColumn id="3" xr3:uid="{FD6B7C16-27D5-41E8-8854-BDB6D8539056}" name="Item"/>
    <tableColumn id="4" xr3:uid="{BA71148A-DCD9-46E2-91DA-99CCF0DAC061}" name="PR_Date" dataDxfId="12"/>
    <tableColumn id="5" xr3:uid="{78A196B4-30AA-4EE9-819E-4254CA52F3DC}" name="Approval_Date" dataDxfId="11"/>
    <tableColumn id="6" xr3:uid="{80F0C1BF-6B97-43BE-8B27-67CD2FE03A0E}" name="PO_Date" dataDxfId="10"/>
    <tableColumn id="7" xr3:uid="{A911B979-B8FB-4472-875D-D6433201EF4F}" name="Vendor"/>
    <tableColumn id="8" xr3:uid="{CAD2146B-89DA-4B1C-B3CF-379AFD3C9103}" name="Status"/>
    <tableColumn id="9" xr3:uid="{4EC745B6-DC39-4625-AEFF-56B9EC880311}" name="Approval_Delay_Days" dataDxfId="9">
      <calculatedColumnFormula>IF(E2&lt;&gt;"",E2-D2,"")</calculatedColumnFormula>
    </tableColumn>
    <tableColumn id="10" xr3:uid="{6F258DDE-FF73-4D2B-A2AD-4231FAACE4A5}" name="PR_to_PO_Cycle_Days" dataDxfId="8">
      <calculatedColumnFormula>IF(F2&lt;&gt;"",F2-D2,"")</calculatedColumnFormula>
    </tableColumn>
    <tableColumn id="11" xr3:uid="{4A3C6B85-F2E6-4EC9-A1D6-05CB6399863D}" name="SLA_Status" dataDxfId="7">
      <calculatedColumnFormula>IF(F2="","Pending",IF(J2&gt;5,"SLA Breach","On Time"))</calculatedColumnFormula>
    </tableColumn>
    <tableColumn id="12" xr3:uid="{37D056D9-A8EA-4207-A343-C0D1FF9B14DF}" name="Valid_Cycle_Days" dataDxfId="0">
      <calculatedColumnFormula>IF(AND(ISNUMBER(J2),J2&gt;0),J2,"")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A287-B5EB-45EA-B561-616580BA6B3D}">
  <dimension ref="A3:B6"/>
  <sheetViews>
    <sheetView workbookViewId="0">
      <selection activeCell="B11" sqref="B11"/>
    </sheetView>
  </sheetViews>
  <sheetFormatPr defaultRowHeight="14.5" x14ac:dyDescent="0.35"/>
  <cols>
    <col min="1" max="1" width="12.36328125" bestFit="1" customWidth="1"/>
    <col min="2" max="2" width="13.6328125" bestFit="1" customWidth="1"/>
  </cols>
  <sheetData>
    <row r="3" spans="1:2" x14ac:dyDescent="0.35">
      <c r="A3" s="3" t="s">
        <v>152</v>
      </c>
      <c r="B3" t="s">
        <v>154</v>
      </c>
    </row>
    <row r="4" spans="1:2" x14ac:dyDescent="0.35">
      <c r="A4" s="4" t="s">
        <v>12</v>
      </c>
      <c r="B4" s="5">
        <v>35</v>
      </c>
    </row>
    <row r="5" spans="1:2" x14ac:dyDescent="0.35">
      <c r="A5" s="4" t="s">
        <v>21</v>
      </c>
      <c r="B5" s="5">
        <v>15</v>
      </c>
    </row>
    <row r="6" spans="1:2" x14ac:dyDescent="0.35">
      <c r="A6" s="4" t="s">
        <v>153</v>
      </c>
      <c r="B6" s="5">
        <v>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B901-4F02-4E96-88EC-91472D2F6471}">
  <dimension ref="A3:B7"/>
  <sheetViews>
    <sheetView workbookViewId="0">
      <selection activeCell="J11" sqref="J11"/>
    </sheetView>
  </sheetViews>
  <sheetFormatPr defaultRowHeight="14.5" x14ac:dyDescent="0.35"/>
  <cols>
    <col min="1" max="1" width="12.36328125" bestFit="1" customWidth="1"/>
    <col min="2" max="2" width="13.6328125" bestFit="1" customWidth="1"/>
  </cols>
  <sheetData>
    <row r="3" spans="1:2" x14ac:dyDescent="0.35">
      <c r="A3" s="3" t="s">
        <v>152</v>
      </c>
      <c r="B3" t="s">
        <v>154</v>
      </c>
    </row>
    <row r="4" spans="1:2" x14ac:dyDescent="0.35">
      <c r="A4" s="4" t="s">
        <v>155</v>
      </c>
      <c r="B4" s="5">
        <v>7</v>
      </c>
    </row>
    <row r="5" spans="1:2" x14ac:dyDescent="0.35">
      <c r="A5" s="4" t="s">
        <v>21</v>
      </c>
      <c r="B5" s="5">
        <v>15</v>
      </c>
    </row>
    <row r="6" spans="1:2" x14ac:dyDescent="0.35">
      <c r="A6" s="4" t="s">
        <v>156</v>
      </c>
      <c r="B6" s="5">
        <v>28</v>
      </c>
    </row>
    <row r="7" spans="1:2" x14ac:dyDescent="0.35">
      <c r="A7" s="4" t="s">
        <v>153</v>
      </c>
      <c r="B7" s="5">
        <v>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71E3E-3E41-4FA3-9B96-4402F8F2C556}">
  <dimension ref="A3:B9"/>
  <sheetViews>
    <sheetView tabSelected="1"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27.6328125" bestFit="1" customWidth="1"/>
  </cols>
  <sheetData>
    <row r="3" spans="1:2" x14ac:dyDescent="0.35">
      <c r="A3" s="3" t="s">
        <v>152</v>
      </c>
      <c r="B3" t="s">
        <v>157</v>
      </c>
    </row>
    <row r="4" spans="1:2" x14ac:dyDescent="0.35">
      <c r="A4" s="4" t="s">
        <v>18</v>
      </c>
      <c r="B4" s="5">
        <v>15</v>
      </c>
    </row>
    <row r="5" spans="1:2" x14ac:dyDescent="0.35">
      <c r="A5" s="4" t="s">
        <v>23</v>
      </c>
      <c r="B5" s="5">
        <v>10</v>
      </c>
    </row>
    <row r="6" spans="1:2" x14ac:dyDescent="0.35">
      <c r="A6" s="4" t="s">
        <v>14</v>
      </c>
      <c r="B6" s="5">
        <v>10</v>
      </c>
    </row>
    <row r="7" spans="1:2" x14ac:dyDescent="0.35">
      <c r="A7" s="4" t="s">
        <v>27</v>
      </c>
      <c r="B7" s="5">
        <v>5</v>
      </c>
    </row>
    <row r="8" spans="1:2" x14ac:dyDescent="0.35">
      <c r="A8" s="4" t="s">
        <v>9</v>
      </c>
      <c r="B8" s="5">
        <v>10</v>
      </c>
    </row>
    <row r="9" spans="1:2" x14ac:dyDescent="0.35">
      <c r="A9" s="4" t="s">
        <v>153</v>
      </c>
      <c r="B9" s="5">
        <v>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3DD9-8EC2-4E2B-BA7E-1BC5D99F68C1}">
  <dimension ref="A1:L51"/>
  <sheetViews>
    <sheetView topLeftCell="C1" workbookViewId="0">
      <selection activeCell="L3" sqref="L3"/>
    </sheetView>
  </sheetViews>
  <sheetFormatPr defaultRowHeight="14.5" x14ac:dyDescent="0.35"/>
  <cols>
    <col min="2" max="2" width="13.08984375" customWidth="1"/>
    <col min="3" max="3" width="19.81640625" customWidth="1"/>
    <col min="4" max="4" width="12.6328125" customWidth="1"/>
    <col min="5" max="5" width="15.36328125" customWidth="1"/>
    <col min="6" max="6" width="11.54296875" customWidth="1"/>
    <col min="7" max="7" width="18.1796875" customWidth="1"/>
    <col min="8" max="8" width="12.54296875" customWidth="1"/>
    <col min="9" max="9" width="20.90625" style="2" customWidth="1"/>
    <col min="10" max="10" width="23.26953125" style="2" customWidth="1"/>
    <col min="11" max="11" width="13.269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149</v>
      </c>
      <c r="J1" s="2" t="s">
        <v>150</v>
      </c>
      <c r="K1" t="s">
        <v>151</v>
      </c>
      <c r="L1" t="s">
        <v>161</v>
      </c>
    </row>
    <row r="2" spans="1:12" x14ac:dyDescent="0.35">
      <c r="A2" t="s">
        <v>8</v>
      </c>
      <c r="B2" t="s">
        <v>9</v>
      </c>
      <c r="C2" t="s">
        <v>10</v>
      </c>
      <c r="D2" s="1">
        <v>45293</v>
      </c>
      <c r="E2" s="1">
        <v>45295</v>
      </c>
      <c r="F2" s="1">
        <v>45296</v>
      </c>
      <c r="G2" t="s">
        <v>11</v>
      </c>
      <c r="H2" t="s">
        <v>12</v>
      </c>
      <c r="I2" s="2">
        <f t="shared" ref="I2:I33" si="0">IF(E2&lt;&gt;"",E2-D2,"")</f>
        <v>2</v>
      </c>
      <c r="J2" s="2">
        <f t="shared" ref="J2:J33" si="1">IF(F2&lt;&gt;"",F2-D2,"")</f>
        <v>3</v>
      </c>
      <c r="K2" t="str">
        <f t="shared" ref="K2:K51" si="2">IF(F2="","Pending",IF(J2&gt;5,"SLA Breach","On Time"))</f>
        <v>On Time</v>
      </c>
      <c r="L2">
        <f t="shared" ref="L2:L33" si="3">IF(AND(ISNUMBER(J2),J2&gt;0),J2,"")</f>
        <v>3</v>
      </c>
    </row>
    <row r="3" spans="1:12" x14ac:dyDescent="0.35">
      <c r="A3" t="s">
        <v>13</v>
      </c>
      <c r="B3" t="s">
        <v>14</v>
      </c>
      <c r="C3" t="s">
        <v>15</v>
      </c>
      <c r="D3" s="1">
        <v>45294</v>
      </c>
      <c r="E3" s="1">
        <v>45297</v>
      </c>
      <c r="F3" s="1">
        <v>45299</v>
      </c>
      <c r="G3" t="s">
        <v>16</v>
      </c>
      <c r="H3" t="s">
        <v>12</v>
      </c>
      <c r="I3" s="2">
        <f t="shared" si="0"/>
        <v>3</v>
      </c>
      <c r="J3" s="2">
        <f t="shared" si="1"/>
        <v>5</v>
      </c>
      <c r="K3" t="str">
        <f t="shared" si="2"/>
        <v>On Time</v>
      </c>
      <c r="L3">
        <f t="shared" si="3"/>
        <v>5</v>
      </c>
    </row>
    <row r="4" spans="1:12" x14ac:dyDescent="0.35">
      <c r="A4" t="s">
        <v>17</v>
      </c>
      <c r="B4" t="s">
        <v>18</v>
      </c>
      <c r="C4" t="s">
        <v>19</v>
      </c>
      <c r="D4" s="1">
        <v>45296</v>
      </c>
      <c r="E4" s="1">
        <v>45300</v>
      </c>
      <c r="G4" t="s">
        <v>20</v>
      </c>
      <c r="H4" t="s">
        <v>21</v>
      </c>
      <c r="I4" s="2">
        <f t="shared" si="0"/>
        <v>4</v>
      </c>
      <c r="J4" s="2" t="str">
        <f t="shared" si="1"/>
        <v/>
      </c>
      <c r="K4" t="str">
        <f t="shared" si="2"/>
        <v>Pending</v>
      </c>
      <c r="L4" t="str">
        <f t="shared" si="3"/>
        <v/>
      </c>
    </row>
    <row r="5" spans="1:12" x14ac:dyDescent="0.35">
      <c r="A5" t="s">
        <v>22</v>
      </c>
      <c r="B5" t="s">
        <v>23</v>
      </c>
      <c r="C5" t="s">
        <v>24</v>
      </c>
      <c r="D5" s="1">
        <v>45298</v>
      </c>
      <c r="E5" s="1">
        <v>45301</v>
      </c>
      <c r="F5" s="1">
        <v>45304</v>
      </c>
      <c r="G5" t="s">
        <v>25</v>
      </c>
      <c r="H5" t="s">
        <v>12</v>
      </c>
      <c r="I5" s="2">
        <f t="shared" si="0"/>
        <v>3</v>
      </c>
      <c r="J5" s="2">
        <f t="shared" si="1"/>
        <v>6</v>
      </c>
      <c r="K5" t="str">
        <f t="shared" si="2"/>
        <v>SLA Breach</v>
      </c>
      <c r="L5">
        <f t="shared" si="3"/>
        <v>6</v>
      </c>
    </row>
    <row r="6" spans="1:12" x14ac:dyDescent="0.35">
      <c r="A6" t="s">
        <v>26</v>
      </c>
      <c r="B6" t="s">
        <v>27</v>
      </c>
      <c r="C6" t="s">
        <v>28</v>
      </c>
      <c r="D6" s="1">
        <v>45300</v>
      </c>
      <c r="E6" s="1">
        <v>45303</v>
      </c>
      <c r="F6" s="1">
        <v>45306</v>
      </c>
      <c r="G6" t="s">
        <v>29</v>
      </c>
      <c r="H6" t="s">
        <v>12</v>
      </c>
      <c r="I6" s="2">
        <f t="shared" si="0"/>
        <v>3</v>
      </c>
      <c r="J6" s="2">
        <f t="shared" si="1"/>
        <v>6</v>
      </c>
      <c r="K6" t="str">
        <f t="shared" si="2"/>
        <v>SLA Breach</v>
      </c>
      <c r="L6">
        <f t="shared" si="3"/>
        <v>6</v>
      </c>
    </row>
    <row r="7" spans="1:12" x14ac:dyDescent="0.35">
      <c r="A7" t="s">
        <v>30</v>
      </c>
      <c r="B7" t="s">
        <v>18</v>
      </c>
      <c r="C7" t="s">
        <v>31</v>
      </c>
      <c r="D7" s="1">
        <v>45302</v>
      </c>
      <c r="E7" s="1">
        <v>45306</v>
      </c>
      <c r="G7" t="s">
        <v>32</v>
      </c>
      <c r="H7" t="s">
        <v>21</v>
      </c>
      <c r="I7" s="2">
        <f t="shared" si="0"/>
        <v>4</v>
      </c>
      <c r="J7" s="2" t="str">
        <f t="shared" si="1"/>
        <v/>
      </c>
      <c r="K7" t="str">
        <f t="shared" si="2"/>
        <v>Pending</v>
      </c>
      <c r="L7" t="str">
        <f t="shared" si="3"/>
        <v/>
      </c>
    </row>
    <row r="8" spans="1:12" x14ac:dyDescent="0.35">
      <c r="A8" t="s">
        <v>33</v>
      </c>
      <c r="B8" t="s">
        <v>9</v>
      </c>
      <c r="C8" t="s">
        <v>34</v>
      </c>
      <c r="D8" s="1">
        <v>45305</v>
      </c>
      <c r="E8" s="1">
        <v>45307</v>
      </c>
      <c r="F8" s="1">
        <v>45309</v>
      </c>
      <c r="G8" t="s">
        <v>35</v>
      </c>
      <c r="H8" t="s">
        <v>12</v>
      </c>
      <c r="I8" s="2">
        <f t="shared" si="0"/>
        <v>2</v>
      </c>
      <c r="J8" s="2">
        <f t="shared" si="1"/>
        <v>4</v>
      </c>
      <c r="K8" t="str">
        <f t="shared" si="2"/>
        <v>On Time</v>
      </c>
      <c r="L8">
        <f t="shared" si="3"/>
        <v>4</v>
      </c>
    </row>
    <row r="9" spans="1:12" x14ac:dyDescent="0.35">
      <c r="A9" t="s">
        <v>36</v>
      </c>
      <c r="B9" t="s">
        <v>14</v>
      </c>
      <c r="C9" t="s">
        <v>37</v>
      </c>
      <c r="D9" s="1">
        <v>45307</v>
      </c>
      <c r="E9" s="1">
        <v>45311</v>
      </c>
      <c r="F9" s="1">
        <v>45314</v>
      </c>
      <c r="G9" t="s">
        <v>38</v>
      </c>
      <c r="H9" t="s">
        <v>12</v>
      </c>
      <c r="I9" s="2">
        <f t="shared" si="0"/>
        <v>4</v>
      </c>
      <c r="J9" s="2">
        <f t="shared" si="1"/>
        <v>7</v>
      </c>
      <c r="K9" t="str">
        <f t="shared" si="2"/>
        <v>SLA Breach</v>
      </c>
      <c r="L9">
        <f t="shared" si="3"/>
        <v>7</v>
      </c>
    </row>
    <row r="10" spans="1:12" x14ac:dyDescent="0.35">
      <c r="A10" t="s">
        <v>39</v>
      </c>
      <c r="B10" t="s">
        <v>23</v>
      </c>
      <c r="C10" t="s">
        <v>40</v>
      </c>
      <c r="D10" s="1">
        <v>45309</v>
      </c>
      <c r="E10" s="1">
        <v>45313</v>
      </c>
      <c r="G10" t="s">
        <v>41</v>
      </c>
      <c r="H10" t="s">
        <v>21</v>
      </c>
      <c r="I10" s="2">
        <f t="shared" si="0"/>
        <v>4</v>
      </c>
      <c r="J10" s="2" t="str">
        <f t="shared" si="1"/>
        <v/>
      </c>
      <c r="K10" t="str">
        <f t="shared" si="2"/>
        <v>Pending</v>
      </c>
      <c r="L10" t="str">
        <f t="shared" si="3"/>
        <v/>
      </c>
    </row>
    <row r="11" spans="1:12" x14ac:dyDescent="0.35">
      <c r="A11" t="s">
        <v>42</v>
      </c>
      <c r="B11" t="s">
        <v>18</v>
      </c>
      <c r="C11" t="s">
        <v>43</v>
      </c>
      <c r="D11" s="1">
        <v>45311</v>
      </c>
      <c r="E11" s="1">
        <v>45315</v>
      </c>
      <c r="F11" s="1">
        <v>45317</v>
      </c>
      <c r="G11" t="s">
        <v>44</v>
      </c>
      <c r="H11" t="s">
        <v>12</v>
      </c>
      <c r="I11" s="2">
        <f t="shared" si="0"/>
        <v>4</v>
      </c>
      <c r="J11" s="2">
        <f t="shared" si="1"/>
        <v>6</v>
      </c>
      <c r="K11" t="str">
        <f t="shared" si="2"/>
        <v>SLA Breach</v>
      </c>
      <c r="L11">
        <f t="shared" si="3"/>
        <v>6</v>
      </c>
    </row>
    <row r="12" spans="1:12" x14ac:dyDescent="0.35">
      <c r="A12" t="s">
        <v>45</v>
      </c>
      <c r="B12" t="s">
        <v>9</v>
      </c>
      <c r="C12" t="s">
        <v>10</v>
      </c>
      <c r="D12" s="1">
        <v>45323</v>
      </c>
      <c r="E12" s="1">
        <v>45325</v>
      </c>
      <c r="F12" s="1">
        <v>45327</v>
      </c>
      <c r="G12" t="s">
        <v>46</v>
      </c>
      <c r="H12" t="s">
        <v>12</v>
      </c>
      <c r="I12" s="2">
        <f t="shared" si="0"/>
        <v>2</v>
      </c>
      <c r="J12" s="2">
        <f t="shared" si="1"/>
        <v>4</v>
      </c>
      <c r="K12" t="str">
        <f t="shared" si="2"/>
        <v>On Time</v>
      </c>
      <c r="L12">
        <f t="shared" si="3"/>
        <v>4</v>
      </c>
    </row>
    <row r="13" spans="1:12" x14ac:dyDescent="0.35">
      <c r="A13" t="s">
        <v>47</v>
      </c>
      <c r="B13" t="s">
        <v>14</v>
      </c>
      <c r="C13" t="s">
        <v>48</v>
      </c>
      <c r="D13" s="1">
        <v>45324</v>
      </c>
      <c r="E13" s="1">
        <v>45328</v>
      </c>
      <c r="F13" s="1">
        <v>45331</v>
      </c>
      <c r="G13" t="s">
        <v>49</v>
      </c>
      <c r="H13" t="s">
        <v>12</v>
      </c>
      <c r="I13" s="2">
        <f t="shared" si="0"/>
        <v>4</v>
      </c>
      <c r="J13" s="2">
        <f t="shared" si="1"/>
        <v>7</v>
      </c>
      <c r="K13" t="str">
        <f t="shared" si="2"/>
        <v>SLA Breach</v>
      </c>
      <c r="L13">
        <f t="shared" si="3"/>
        <v>7</v>
      </c>
    </row>
    <row r="14" spans="1:12" x14ac:dyDescent="0.35">
      <c r="A14" t="s">
        <v>50</v>
      </c>
      <c r="B14" t="s">
        <v>18</v>
      </c>
      <c r="C14" t="s">
        <v>51</v>
      </c>
      <c r="D14" s="1">
        <v>45326</v>
      </c>
      <c r="E14" s="1">
        <v>45330</v>
      </c>
      <c r="G14" t="s">
        <v>52</v>
      </c>
      <c r="H14" t="s">
        <v>21</v>
      </c>
      <c r="I14" s="2">
        <f t="shared" si="0"/>
        <v>4</v>
      </c>
      <c r="J14" s="2" t="str">
        <f t="shared" si="1"/>
        <v/>
      </c>
      <c r="K14" t="str">
        <f t="shared" si="2"/>
        <v>Pending</v>
      </c>
      <c r="L14" t="str">
        <f t="shared" si="3"/>
        <v/>
      </c>
    </row>
    <row r="15" spans="1:12" x14ac:dyDescent="0.35">
      <c r="A15" t="s">
        <v>53</v>
      </c>
      <c r="B15" t="s">
        <v>23</v>
      </c>
      <c r="C15" t="s">
        <v>54</v>
      </c>
      <c r="D15" s="1">
        <v>45328</v>
      </c>
      <c r="E15" s="1">
        <v>45332</v>
      </c>
      <c r="F15" s="1">
        <v>45336</v>
      </c>
      <c r="G15" t="s">
        <v>55</v>
      </c>
      <c r="H15" t="s">
        <v>12</v>
      </c>
      <c r="I15" s="2">
        <f t="shared" si="0"/>
        <v>4</v>
      </c>
      <c r="J15" s="2">
        <f t="shared" si="1"/>
        <v>8</v>
      </c>
      <c r="K15" t="str">
        <f t="shared" si="2"/>
        <v>SLA Breach</v>
      </c>
      <c r="L15">
        <f t="shared" si="3"/>
        <v>8</v>
      </c>
    </row>
    <row r="16" spans="1:12" x14ac:dyDescent="0.35">
      <c r="A16" t="s">
        <v>56</v>
      </c>
      <c r="B16" t="s">
        <v>27</v>
      </c>
      <c r="C16" t="s">
        <v>57</v>
      </c>
      <c r="D16" s="1">
        <v>45330</v>
      </c>
      <c r="E16" s="1">
        <v>45334</v>
      </c>
      <c r="F16" s="1">
        <v>45337</v>
      </c>
      <c r="G16" t="s">
        <v>58</v>
      </c>
      <c r="H16" t="s">
        <v>12</v>
      </c>
      <c r="I16" s="2">
        <f t="shared" si="0"/>
        <v>4</v>
      </c>
      <c r="J16" s="2">
        <f t="shared" si="1"/>
        <v>7</v>
      </c>
      <c r="K16" t="str">
        <f t="shared" si="2"/>
        <v>SLA Breach</v>
      </c>
      <c r="L16">
        <f t="shared" si="3"/>
        <v>7</v>
      </c>
    </row>
    <row r="17" spans="1:12" x14ac:dyDescent="0.35">
      <c r="A17" t="s">
        <v>59</v>
      </c>
      <c r="B17" t="s">
        <v>18</v>
      </c>
      <c r="C17" t="s">
        <v>60</v>
      </c>
      <c r="D17" s="1">
        <v>45332</v>
      </c>
      <c r="E17" s="1">
        <v>45336</v>
      </c>
      <c r="G17" t="s">
        <v>61</v>
      </c>
      <c r="H17" t="s">
        <v>21</v>
      </c>
      <c r="I17" s="2">
        <f t="shared" si="0"/>
        <v>4</v>
      </c>
      <c r="J17" s="2" t="str">
        <f t="shared" si="1"/>
        <v/>
      </c>
      <c r="K17" t="str">
        <f t="shared" si="2"/>
        <v>Pending</v>
      </c>
      <c r="L17" t="str">
        <f t="shared" si="3"/>
        <v/>
      </c>
    </row>
    <row r="18" spans="1:12" x14ac:dyDescent="0.35">
      <c r="A18" t="s">
        <v>62</v>
      </c>
      <c r="B18" t="s">
        <v>9</v>
      </c>
      <c r="C18" t="s">
        <v>63</v>
      </c>
      <c r="D18" s="1">
        <v>45334</v>
      </c>
      <c r="E18" s="1">
        <v>45337</v>
      </c>
      <c r="F18" s="1">
        <v>45340</v>
      </c>
      <c r="G18" t="s">
        <v>64</v>
      </c>
      <c r="H18" t="s">
        <v>12</v>
      </c>
      <c r="I18" s="2">
        <f t="shared" si="0"/>
        <v>3</v>
      </c>
      <c r="J18" s="2">
        <f t="shared" si="1"/>
        <v>6</v>
      </c>
      <c r="K18" t="str">
        <f t="shared" si="2"/>
        <v>SLA Breach</v>
      </c>
      <c r="L18">
        <f t="shared" si="3"/>
        <v>6</v>
      </c>
    </row>
    <row r="19" spans="1:12" x14ac:dyDescent="0.35">
      <c r="A19" t="s">
        <v>65</v>
      </c>
      <c r="B19" t="s">
        <v>14</v>
      </c>
      <c r="C19" t="s">
        <v>66</v>
      </c>
      <c r="D19" s="1">
        <v>45336</v>
      </c>
      <c r="E19" s="1">
        <v>45340</v>
      </c>
      <c r="F19" s="1">
        <v>45343</v>
      </c>
      <c r="G19" t="s">
        <v>67</v>
      </c>
      <c r="H19" t="s">
        <v>12</v>
      </c>
      <c r="I19" s="2">
        <f t="shared" si="0"/>
        <v>4</v>
      </c>
      <c r="J19" s="2">
        <f t="shared" si="1"/>
        <v>7</v>
      </c>
      <c r="K19" t="str">
        <f t="shared" si="2"/>
        <v>SLA Breach</v>
      </c>
      <c r="L19">
        <f t="shared" si="3"/>
        <v>7</v>
      </c>
    </row>
    <row r="20" spans="1:12" x14ac:dyDescent="0.35">
      <c r="A20" t="s">
        <v>68</v>
      </c>
      <c r="B20" t="s">
        <v>23</v>
      </c>
      <c r="C20" t="s">
        <v>69</v>
      </c>
      <c r="D20" s="1">
        <v>45338</v>
      </c>
      <c r="E20" s="1">
        <v>45342</v>
      </c>
      <c r="G20" t="s">
        <v>70</v>
      </c>
      <c r="H20" t="s">
        <v>21</v>
      </c>
      <c r="I20" s="2">
        <f t="shared" si="0"/>
        <v>4</v>
      </c>
      <c r="J20" s="2" t="str">
        <f t="shared" si="1"/>
        <v/>
      </c>
      <c r="K20" t="str">
        <f t="shared" si="2"/>
        <v>Pending</v>
      </c>
      <c r="L20" t="str">
        <f t="shared" si="3"/>
        <v/>
      </c>
    </row>
    <row r="21" spans="1:12" x14ac:dyDescent="0.35">
      <c r="A21" t="s">
        <v>71</v>
      </c>
      <c r="B21" t="s">
        <v>18</v>
      </c>
      <c r="C21" t="s">
        <v>72</v>
      </c>
      <c r="D21" s="1">
        <v>45340</v>
      </c>
      <c r="E21" s="1">
        <v>45344</v>
      </c>
      <c r="F21" s="1">
        <v>45347</v>
      </c>
      <c r="G21" t="s">
        <v>73</v>
      </c>
      <c r="H21" t="s">
        <v>12</v>
      </c>
      <c r="I21" s="2">
        <f t="shared" si="0"/>
        <v>4</v>
      </c>
      <c r="J21" s="2">
        <f t="shared" si="1"/>
        <v>7</v>
      </c>
      <c r="K21" t="str">
        <f t="shared" si="2"/>
        <v>SLA Breach</v>
      </c>
      <c r="L21">
        <f t="shared" si="3"/>
        <v>7</v>
      </c>
    </row>
    <row r="22" spans="1:12" x14ac:dyDescent="0.35">
      <c r="A22" t="s">
        <v>74</v>
      </c>
      <c r="B22" t="s">
        <v>9</v>
      </c>
      <c r="C22" t="s">
        <v>10</v>
      </c>
      <c r="D22" s="1">
        <v>45352</v>
      </c>
      <c r="E22" s="1">
        <v>45355</v>
      </c>
      <c r="F22" s="1">
        <v>45357</v>
      </c>
      <c r="G22" t="s">
        <v>75</v>
      </c>
      <c r="H22" t="s">
        <v>12</v>
      </c>
      <c r="I22" s="2">
        <f t="shared" si="0"/>
        <v>3</v>
      </c>
      <c r="J22" s="2">
        <f t="shared" si="1"/>
        <v>5</v>
      </c>
      <c r="K22" t="str">
        <f t="shared" si="2"/>
        <v>On Time</v>
      </c>
      <c r="L22">
        <f t="shared" si="3"/>
        <v>5</v>
      </c>
    </row>
    <row r="23" spans="1:12" x14ac:dyDescent="0.35">
      <c r="A23" t="s">
        <v>76</v>
      </c>
      <c r="B23" t="s">
        <v>14</v>
      </c>
      <c r="C23" t="s">
        <v>77</v>
      </c>
      <c r="D23" s="1">
        <v>45353</v>
      </c>
      <c r="E23" s="1">
        <v>45357</v>
      </c>
      <c r="F23" s="1">
        <v>45360</v>
      </c>
      <c r="G23" t="s">
        <v>78</v>
      </c>
      <c r="H23" t="s">
        <v>12</v>
      </c>
      <c r="I23" s="2">
        <f t="shared" si="0"/>
        <v>4</v>
      </c>
      <c r="J23" s="2">
        <f t="shared" si="1"/>
        <v>7</v>
      </c>
      <c r="K23" t="str">
        <f t="shared" si="2"/>
        <v>SLA Breach</v>
      </c>
      <c r="L23">
        <f t="shared" si="3"/>
        <v>7</v>
      </c>
    </row>
    <row r="24" spans="1:12" x14ac:dyDescent="0.35">
      <c r="A24" t="s">
        <v>79</v>
      </c>
      <c r="B24" t="s">
        <v>18</v>
      </c>
      <c r="C24" t="s">
        <v>80</v>
      </c>
      <c r="D24" s="1">
        <v>45355</v>
      </c>
      <c r="E24" s="1">
        <v>45359</v>
      </c>
      <c r="G24" t="s">
        <v>81</v>
      </c>
      <c r="H24" t="s">
        <v>21</v>
      </c>
      <c r="I24" s="2">
        <f t="shared" si="0"/>
        <v>4</v>
      </c>
      <c r="J24" s="2" t="str">
        <f t="shared" si="1"/>
        <v/>
      </c>
      <c r="K24" t="str">
        <f t="shared" si="2"/>
        <v>Pending</v>
      </c>
      <c r="L24" t="str">
        <f t="shared" si="3"/>
        <v/>
      </c>
    </row>
    <row r="25" spans="1:12" x14ac:dyDescent="0.35">
      <c r="A25" t="s">
        <v>82</v>
      </c>
      <c r="B25" t="s">
        <v>23</v>
      </c>
      <c r="C25" t="s">
        <v>83</v>
      </c>
      <c r="D25" s="1">
        <v>45357</v>
      </c>
      <c r="E25" s="1">
        <v>45361</v>
      </c>
      <c r="F25" s="1">
        <v>45365</v>
      </c>
      <c r="G25" t="s">
        <v>84</v>
      </c>
      <c r="H25" t="s">
        <v>12</v>
      </c>
      <c r="I25" s="2">
        <f t="shared" si="0"/>
        <v>4</v>
      </c>
      <c r="J25" s="2">
        <f t="shared" si="1"/>
        <v>8</v>
      </c>
      <c r="K25" t="str">
        <f t="shared" si="2"/>
        <v>SLA Breach</v>
      </c>
      <c r="L25">
        <f t="shared" si="3"/>
        <v>8</v>
      </c>
    </row>
    <row r="26" spans="1:12" x14ac:dyDescent="0.35">
      <c r="A26" t="s">
        <v>85</v>
      </c>
      <c r="B26" t="s">
        <v>27</v>
      </c>
      <c r="C26" t="s">
        <v>86</v>
      </c>
      <c r="D26" s="1">
        <v>45359</v>
      </c>
      <c r="E26" s="1">
        <v>45363</v>
      </c>
      <c r="F26" s="1">
        <v>45366</v>
      </c>
      <c r="G26" t="s">
        <v>87</v>
      </c>
      <c r="H26" t="s">
        <v>12</v>
      </c>
      <c r="I26" s="2">
        <f t="shared" si="0"/>
        <v>4</v>
      </c>
      <c r="J26" s="2">
        <f t="shared" si="1"/>
        <v>7</v>
      </c>
      <c r="K26" t="str">
        <f t="shared" si="2"/>
        <v>SLA Breach</v>
      </c>
      <c r="L26">
        <f t="shared" si="3"/>
        <v>7</v>
      </c>
    </row>
    <row r="27" spans="1:12" x14ac:dyDescent="0.35">
      <c r="A27" t="s">
        <v>88</v>
      </c>
      <c r="B27" t="s">
        <v>18</v>
      </c>
      <c r="C27" t="s">
        <v>89</v>
      </c>
      <c r="D27" s="1">
        <v>45361</v>
      </c>
      <c r="E27" s="1">
        <v>45365</v>
      </c>
      <c r="G27" t="s">
        <v>90</v>
      </c>
      <c r="H27" t="s">
        <v>21</v>
      </c>
      <c r="I27" s="2">
        <f t="shared" si="0"/>
        <v>4</v>
      </c>
      <c r="J27" s="2" t="str">
        <f t="shared" si="1"/>
        <v/>
      </c>
      <c r="K27" t="str">
        <f t="shared" si="2"/>
        <v>Pending</v>
      </c>
      <c r="L27" t="str">
        <f t="shared" si="3"/>
        <v/>
      </c>
    </row>
    <row r="28" spans="1:12" x14ac:dyDescent="0.35">
      <c r="A28" t="s">
        <v>91</v>
      </c>
      <c r="B28" t="s">
        <v>9</v>
      </c>
      <c r="C28" t="s">
        <v>92</v>
      </c>
      <c r="D28" s="1">
        <v>45363</v>
      </c>
      <c r="E28" s="1">
        <v>45366</v>
      </c>
      <c r="F28" s="1">
        <v>45369</v>
      </c>
      <c r="G28" t="s">
        <v>93</v>
      </c>
      <c r="H28" t="s">
        <v>12</v>
      </c>
      <c r="I28" s="2">
        <f t="shared" si="0"/>
        <v>3</v>
      </c>
      <c r="J28" s="2">
        <f t="shared" si="1"/>
        <v>6</v>
      </c>
      <c r="K28" t="str">
        <f t="shared" si="2"/>
        <v>SLA Breach</v>
      </c>
      <c r="L28">
        <f t="shared" si="3"/>
        <v>6</v>
      </c>
    </row>
    <row r="29" spans="1:12" x14ac:dyDescent="0.35">
      <c r="A29" t="s">
        <v>94</v>
      </c>
      <c r="B29" t="s">
        <v>14</v>
      </c>
      <c r="C29" t="s">
        <v>95</v>
      </c>
      <c r="D29" s="1">
        <v>45365</v>
      </c>
      <c r="E29" s="1">
        <v>45369</v>
      </c>
      <c r="F29" s="1">
        <v>45372</v>
      </c>
      <c r="G29" t="s">
        <v>96</v>
      </c>
      <c r="H29" t="s">
        <v>12</v>
      </c>
      <c r="I29" s="2">
        <f t="shared" si="0"/>
        <v>4</v>
      </c>
      <c r="J29" s="2">
        <f t="shared" si="1"/>
        <v>7</v>
      </c>
      <c r="K29" t="str">
        <f t="shared" si="2"/>
        <v>SLA Breach</v>
      </c>
      <c r="L29">
        <f t="shared" si="3"/>
        <v>7</v>
      </c>
    </row>
    <row r="30" spans="1:12" x14ac:dyDescent="0.35">
      <c r="A30" t="s">
        <v>97</v>
      </c>
      <c r="B30" t="s">
        <v>23</v>
      </c>
      <c r="C30" t="s">
        <v>98</v>
      </c>
      <c r="D30" s="1">
        <v>45367</v>
      </c>
      <c r="E30" s="1">
        <v>45371</v>
      </c>
      <c r="G30" t="s">
        <v>99</v>
      </c>
      <c r="H30" t="s">
        <v>21</v>
      </c>
      <c r="I30" s="2">
        <f t="shared" si="0"/>
        <v>4</v>
      </c>
      <c r="J30" s="2" t="str">
        <f t="shared" si="1"/>
        <v/>
      </c>
      <c r="K30" t="str">
        <f t="shared" si="2"/>
        <v>Pending</v>
      </c>
      <c r="L30" t="str">
        <f t="shared" si="3"/>
        <v/>
      </c>
    </row>
    <row r="31" spans="1:12" x14ac:dyDescent="0.35">
      <c r="A31" t="s">
        <v>100</v>
      </c>
      <c r="B31" t="s">
        <v>18</v>
      </c>
      <c r="C31" t="s">
        <v>101</v>
      </c>
      <c r="D31" s="1">
        <v>45369</v>
      </c>
      <c r="E31" s="1">
        <v>45373</v>
      </c>
      <c r="F31" s="1">
        <v>45376</v>
      </c>
      <c r="G31" t="s">
        <v>102</v>
      </c>
      <c r="H31" t="s">
        <v>12</v>
      </c>
      <c r="I31" s="2">
        <f t="shared" si="0"/>
        <v>4</v>
      </c>
      <c r="J31" s="2">
        <f t="shared" si="1"/>
        <v>7</v>
      </c>
      <c r="K31" t="str">
        <f t="shared" si="2"/>
        <v>SLA Breach</v>
      </c>
      <c r="L31">
        <f t="shared" si="3"/>
        <v>7</v>
      </c>
    </row>
    <row r="32" spans="1:12" x14ac:dyDescent="0.35">
      <c r="A32" t="s">
        <v>103</v>
      </c>
      <c r="B32" t="s">
        <v>9</v>
      </c>
      <c r="C32" t="s">
        <v>10</v>
      </c>
      <c r="D32" s="1">
        <v>45383</v>
      </c>
      <c r="E32" s="1">
        <v>45385</v>
      </c>
      <c r="F32" s="1">
        <v>45387</v>
      </c>
      <c r="G32" t="s">
        <v>104</v>
      </c>
      <c r="H32" t="s">
        <v>12</v>
      </c>
      <c r="I32" s="2">
        <f t="shared" si="0"/>
        <v>2</v>
      </c>
      <c r="J32" s="2">
        <f t="shared" si="1"/>
        <v>4</v>
      </c>
      <c r="K32" t="str">
        <f t="shared" si="2"/>
        <v>On Time</v>
      </c>
      <c r="L32">
        <f t="shared" si="3"/>
        <v>4</v>
      </c>
    </row>
    <row r="33" spans="1:12" x14ac:dyDescent="0.35">
      <c r="A33" t="s">
        <v>105</v>
      </c>
      <c r="B33" t="s">
        <v>14</v>
      </c>
      <c r="C33" t="s">
        <v>106</v>
      </c>
      <c r="D33" s="1">
        <v>45384</v>
      </c>
      <c r="E33" s="1">
        <v>45388</v>
      </c>
      <c r="F33" s="1">
        <v>45391</v>
      </c>
      <c r="G33" t="s">
        <v>107</v>
      </c>
      <c r="H33" t="s">
        <v>12</v>
      </c>
      <c r="I33" s="2">
        <f t="shared" si="0"/>
        <v>4</v>
      </c>
      <c r="J33" s="2">
        <f t="shared" si="1"/>
        <v>7</v>
      </c>
      <c r="K33" t="str">
        <f t="shared" si="2"/>
        <v>SLA Breach</v>
      </c>
      <c r="L33">
        <f t="shared" si="3"/>
        <v>7</v>
      </c>
    </row>
    <row r="34" spans="1:12" x14ac:dyDescent="0.35">
      <c r="A34" t="s">
        <v>108</v>
      </c>
      <c r="B34" t="s">
        <v>18</v>
      </c>
      <c r="C34" t="s">
        <v>19</v>
      </c>
      <c r="D34" s="1">
        <v>45386</v>
      </c>
      <c r="E34" s="1">
        <v>45390</v>
      </c>
      <c r="G34" t="s">
        <v>20</v>
      </c>
      <c r="H34" t="s">
        <v>21</v>
      </c>
      <c r="I34" s="2">
        <f t="shared" ref="I34:I51" si="4">IF(E34&lt;&gt;"",E34-D34,"")</f>
        <v>4</v>
      </c>
      <c r="J34" s="2" t="str">
        <f t="shared" ref="J34:J51" si="5">IF(F34&lt;&gt;"",F34-D34,"")</f>
        <v/>
      </c>
      <c r="K34" t="str">
        <f t="shared" si="2"/>
        <v>Pending</v>
      </c>
      <c r="L34" t="str">
        <f t="shared" ref="L34:L51" si="6">IF(AND(ISNUMBER(J34),J34&gt;0),J34,"")</f>
        <v/>
      </c>
    </row>
    <row r="35" spans="1:12" x14ac:dyDescent="0.35">
      <c r="A35" t="s">
        <v>109</v>
      </c>
      <c r="B35" t="s">
        <v>23</v>
      </c>
      <c r="C35" t="s">
        <v>110</v>
      </c>
      <c r="D35" s="1">
        <v>45388</v>
      </c>
      <c r="E35" s="1">
        <v>45392</v>
      </c>
      <c r="F35" s="1">
        <v>45396</v>
      </c>
      <c r="G35" t="s">
        <v>111</v>
      </c>
      <c r="H35" t="s">
        <v>12</v>
      </c>
      <c r="I35" s="2">
        <f t="shared" si="4"/>
        <v>4</v>
      </c>
      <c r="J35" s="2">
        <f t="shared" si="5"/>
        <v>8</v>
      </c>
      <c r="K35" t="str">
        <f t="shared" si="2"/>
        <v>SLA Breach</v>
      </c>
      <c r="L35">
        <f t="shared" si="6"/>
        <v>8</v>
      </c>
    </row>
    <row r="36" spans="1:12" x14ac:dyDescent="0.35">
      <c r="A36" t="s">
        <v>112</v>
      </c>
      <c r="B36" t="s">
        <v>27</v>
      </c>
      <c r="C36" t="s">
        <v>113</v>
      </c>
      <c r="D36" s="1">
        <v>45390</v>
      </c>
      <c r="E36" s="1">
        <v>45394</v>
      </c>
      <c r="F36" s="1">
        <v>45397</v>
      </c>
      <c r="G36" t="s">
        <v>114</v>
      </c>
      <c r="H36" t="s">
        <v>12</v>
      </c>
      <c r="I36" s="2">
        <f t="shared" si="4"/>
        <v>4</v>
      </c>
      <c r="J36" s="2">
        <f t="shared" si="5"/>
        <v>7</v>
      </c>
      <c r="K36" t="str">
        <f t="shared" si="2"/>
        <v>SLA Breach</v>
      </c>
      <c r="L36">
        <f t="shared" si="6"/>
        <v>7</v>
      </c>
    </row>
    <row r="37" spans="1:12" x14ac:dyDescent="0.35">
      <c r="A37" t="s">
        <v>115</v>
      </c>
      <c r="B37" t="s">
        <v>18</v>
      </c>
      <c r="C37" t="s">
        <v>116</v>
      </c>
      <c r="D37" s="1">
        <v>45392</v>
      </c>
      <c r="E37" s="1">
        <v>45396</v>
      </c>
      <c r="G37" t="s">
        <v>117</v>
      </c>
      <c r="H37" t="s">
        <v>21</v>
      </c>
      <c r="I37" s="2">
        <f t="shared" si="4"/>
        <v>4</v>
      </c>
      <c r="J37" s="2" t="str">
        <f t="shared" si="5"/>
        <v/>
      </c>
      <c r="K37" t="str">
        <f t="shared" si="2"/>
        <v>Pending</v>
      </c>
      <c r="L37" t="str">
        <f t="shared" si="6"/>
        <v/>
      </c>
    </row>
    <row r="38" spans="1:12" x14ac:dyDescent="0.35">
      <c r="A38" t="s">
        <v>118</v>
      </c>
      <c r="B38" t="s">
        <v>9</v>
      </c>
      <c r="C38" t="s">
        <v>119</v>
      </c>
      <c r="D38" s="1">
        <v>45394</v>
      </c>
      <c r="E38" s="1">
        <v>45397</v>
      </c>
      <c r="F38" s="1">
        <v>45400</v>
      </c>
      <c r="G38" t="s">
        <v>104</v>
      </c>
      <c r="H38" t="s">
        <v>12</v>
      </c>
      <c r="I38" s="2">
        <f t="shared" si="4"/>
        <v>3</v>
      </c>
      <c r="J38" s="2">
        <f t="shared" si="5"/>
        <v>6</v>
      </c>
      <c r="K38" t="str">
        <f t="shared" si="2"/>
        <v>SLA Breach</v>
      </c>
      <c r="L38">
        <f t="shared" si="6"/>
        <v>6</v>
      </c>
    </row>
    <row r="39" spans="1:12" x14ac:dyDescent="0.35">
      <c r="A39" t="s">
        <v>120</v>
      </c>
      <c r="B39" t="s">
        <v>14</v>
      </c>
      <c r="C39" t="s">
        <v>121</v>
      </c>
      <c r="D39" s="1">
        <v>45396</v>
      </c>
      <c r="E39" s="1">
        <v>45400</v>
      </c>
      <c r="F39" s="1">
        <v>45403</v>
      </c>
      <c r="G39" t="s">
        <v>122</v>
      </c>
      <c r="H39" t="s">
        <v>12</v>
      </c>
      <c r="I39" s="2">
        <f t="shared" si="4"/>
        <v>4</v>
      </c>
      <c r="J39" s="2">
        <f t="shared" si="5"/>
        <v>7</v>
      </c>
      <c r="K39" t="str">
        <f t="shared" si="2"/>
        <v>SLA Breach</v>
      </c>
      <c r="L39">
        <f t="shared" si="6"/>
        <v>7</v>
      </c>
    </row>
    <row r="40" spans="1:12" x14ac:dyDescent="0.35">
      <c r="A40" t="s">
        <v>123</v>
      </c>
      <c r="B40" t="s">
        <v>23</v>
      </c>
      <c r="C40" t="s">
        <v>124</v>
      </c>
      <c r="D40" s="1">
        <v>45398</v>
      </c>
      <c r="E40" s="1">
        <v>45402</v>
      </c>
      <c r="G40" t="s">
        <v>125</v>
      </c>
      <c r="H40" t="s">
        <v>21</v>
      </c>
      <c r="I40" s="2">
        <f t="shared" si="4"/>
        <v>4</v>
      </c>
      <c r="J40" s="2" t="str">
        <f t="shared" si="5"/>
        <v/>
      </c>
      <c r="K40" t="str">
        <f t="shared" si="2"/>
        <v>Pending</v>
      </c>
      <c r="L40" t="str">
        <f t="shared" si="6"/>
        <v/>
      </c>
    </row>
    <row r="41" spans="1:12" x14ac:dyDescent="0.35">
      <c r="A41" t="s">
        <v>126</v>
      </c>
      <c r="B41" t="s">
        <v>18</v>
      </c>
      <c r="C41" t="s">
        <v>127</v>
      </c>
      <c r="D41" s="1">
        <v>45400</v>
      </c>
      <c r="E41" s="1">
        <v>45404</v>
      </c>
      <c r="F41" s="1">
        <v>45407</v>
      </c>
      <c r="G41" t="s">
        <v>128</v>
      </c>
      <c r="H41" t="s">
        <v>12</v>
      </c>
      <c r="I41" s="2">
        <f t="shared" si="4"/>
        <v>4</v>
      </c>
      <c r="J41" s="2">
        <f t="shared" si="5"/>
        <v>7</v>
      </c>
      <c r="K41" t="str">
        <f t="shared" si="2"/>
        <v>SLA Breach</v>
      </c>
      <c r="L41">
        <f t="shared" si="6"/>
        <v>7</v>
      </c>
    </row>
    <row r="42" spans="1:12" x14ac:dyDescent="0.35">
      <c r="A42" t="s">
        <v>129</v>
      </c>
      <c r="B42" t="s">
        <v>9</v>
      </c>
      <c r="C42" t="s">
        <v>10</v>
      </c>
      <c r="D42" s="1">
        <v>45413</v>
      </c>
      <c r="E42" s="1">
        <v>45415</v>
      </c>
      <c r="F42" s="1">
        <v>45418</v>
      </c>
      <c r="G42" t="s">
        <v>130</v>
      </c>
      <c r="H42" t="s">
        <v>12</v>
      </c>
      <c r="I42" s="2">
        <f t="shared" si="4"/>
        <v>2</v>
      </c>
      <c r="J42" s="2">
        <f t="shared" si="5"/>
        <v>5</v>
      </c>
      <c r="K42" t="str">
        <f t="shared" si="2"/>
        <v>On Time</v>
      </c>
      <c r="L42">
        <f t="shared" si="6"/>
        <v>5</v>
      </c>
    </row>
    <row r="43" spans="1:12" x14ac:dyDescent="0.35">
      <c r="A43" t="s">
        <v>131</v>
      </c>
      <c r="B43" t="s">
        <v>14</v>
      </c>
      <c r="C43" t="s">
        <v>37</v>
      </c>
      <c r="D43" s="1">
        <v>45414</v>
      </c>
      <c r="E43" s="1">
        <v>45418</v>
      </c>
      <c r="F43" s="1">
        <v>45421</v>
      </c>
      <c r="G43" t="s">
        <v>49</v>
      </c>
      <c r="H43" t="s">
        <v>12</v>
      </c>
      <c r="I43" s="2">
        <f t="shared" si="4"/>
        <v>4</v>
      </c>
      <c r="J43" s="2">
        <f t="shared" si="5"/>
        <v>7</v>
      </c>
      <c r="K43" t="str">
        <f t="shared" si="2"/>
        <v>SLA Breach</v>
      </c>
      <c r="L43">
        <f t="shared" si="6"/>
        <v>7</v>
      </c>
    </row>
    <row r="44" spans="1:12" x14ac:dyDescent="0.35">
      <c r="A44" t="s">
        <v>132</v>
      </c>
      <c r="B44" t="s">
        <v>18</v>
      </c>
      <c r="C44" t="s">
        <v>133</v>
      </c>
      <c r="D44" s="1">
        <v>45416</v>
      </c>
      <c r="E44" s="1">
        <v>45420</v>
      </c>
      <c r="G44" t="s">
        <v>52</v>
      </c>
      <c r="H44" t="s">
        <v>21</v>
      </c>
      <c r="I44" s="2">
        <f t="shared" si="4"/>
        <v>4</v>
      </c>
      <c r="J44" s="2" t="str">
        <f t="shared" si="5"/>
        <v/>
      </c>
      <c r="K44" t="str">
        <f t="shared" si="2"/>
        <v>Pending</v>
      </c>
      <c r="L44" t="str">
        <f t="shared" si="6"/>
        <v/>
      </c>
    </row>
    <row r="45" spans="1:12" x14ac:dyDescent="0.35">
      <c r="A45" t="s">
        <v>134</v>
      </c>
      <c r="B45" t="s">
        <v>23</v>
      </c>
      <c r="C45" t="s">
        <v>135</v>
      </c>
      <c r="D45" s="1">
        <v>45418</v>
      </c>
      <c r="E45" s="1">
        <v>45422</v>
      </c>
      <c r="F45" s="1">
        <v>45426</v>
      </c>
      <c r="G45" t="s">
        <v>41</v>
      </c>
      <c r="H45" t="s">
        <v>12</v>
      </c>
      <c r="I45" s="2">
        <f t="shared" si="4"/>
        <v>4</v>
      </c>
      <c r="J45" s="2">
        <f t="shared" si="5"/>
        <v>8</v>
      </c>
      <c r="K45" t="str">
        <f t="shared" si="2"/>
        <v>SLA Breach</v>
      </c>
      <c r="L45">
        <f t="shared" si="6"/>
        <v>8</v>
      </c>
    </row>
    <row r="46" spans="1:12" x14ac:dyDescent="0.35">
      <c r="A46" t="s">
        <v>136</v>
      </c>
      <c r="B46" t="s">
        <v>27</v>
      </c>
      <c r="C46" t="s">
        <v>137</v>
      </c>
      <c r="D46" s="1">
        <v>45420</v>
      </c>
      <c r="E46" s="1">
        <v>45424</v>
      </c>
      <c r="F46" s="1">
        <v>45427</v>
      </c>
      <c r="G46" t="s">
        <v>138</v>
      </c>
      <c r="H46" t="s">
        <v>12</v>
      </c>
      <c r="I46" s="2">
        <f t="shared" si="4"/>
        <v>4</v>
      </c>
      <c r="J46" s="2">
        <f t="shared" si="5"/>
        <v>7</v>
      </c>
      <c r="K46" t="str">
        <f t="shared" si="2"/>
        <v>SLA Breach</v>
      </c>
      <c r="L46">
        <f t="shared" si="6"/>
        <v>7</v>
      </c>
    </row>
    <row r="47" spans="1:12" x14ac:dyDescent="0.35">
      <c r="A47" t="s">
        <v>139</v>
      </c>
      <c r="B47" t="s">
        <v>18</v>
      </c>
      <c r="C47" t="s">
        <v>140</v>
      </c>
      <c r="D47" s="1">
        <v>45422</v>
      </c>
      <c r="E47" s="1">
        <v>45426</v>
      </c>
      <c r="G47" t="s">
        <v>141</v>
      </c>
      <c r="H47" t="s">
        <v>21</v>
      </c>
      <c r="I47" s="2">
        <f t="shared" si="4"/>
        <v>4</v>
      </c>
      <c r="J47" s="2" t="str">
        <f t="shared" si="5"/>
        <v/>
      </c>
      <c r="K47" t="str">
        <f t="shared" si="2"/>
        <v>Pending</v>
      </c>
      <c r="L47" t="str">
        <f t="shared" si="6"/>
        <v/>
      </c>
    </row>
    <row r="48" spans="1:12" x14ac:dyDescent="0.35">
      <c r="A48" t="s">
        <v>142</v>
      </c>
      <c r="B48" t="s">
        <v>9</v>
      </c>
      <c r="C48" t="s">
        <v>34</v>
      </c>
      <c r="D48" s="1">
        <v>45424</v>
      </c>
      <c r="E48" s="1">
        <v>45427</v>
      </c>
      <c r="F48" s="1">
        <v>45430</v>
      </c>
      <c r="G48" t="s">
        <v>35</v>
      </c>
      <c r="H48" t="s">
        <v>12</v>
      </c>
      <c r="I48" s="2">
        <f t="shared" si="4"/>
        <v>3</v>
      </c>
      <c r="J48" s="2">
        <f t="shared" si="5"/>
        <v>6</v>
      </c>
      <c r="K48" t="str">
        <f t="shared" si="2"/>
        <v>SLA Breach</v>
      </c>
      <c r="L48">
        <f t="shared" si="6"/>
        <v>6</v>
      </c>
    </row>
    <row r="49" spans="1:12" x14ac:dyDescent="0.35">
      <c r="A49" t="s">
        <v>143</v>
      </c>
      <c r="B49" t="s">
        <v>14</v>
      </c>
      <c r="C49" t="s">
        <v>144</v>
      </c>
      <c r="D49" s="1">
        <v>45426</v>
      </c>
      <c r="E49" s="1">
        <v>45430</v>
      </c>
      <c r="F49" s="1">
        <v>45433</v>
      </c>
      <c r="G49" t="s">
        <v>38</v>
      </c>
      <c r="H49" t="s">
        <v>12</v>
      </c>
      <c r="I49" s="2">
        <f t="shared" si="4"/>
        <v>4</v>
      </c>
      <c r="J49" s="2">
        <f t="shared" si="5"/>
        <v>7</v>
      </c>
      <c r="K49" t="str">
        <f t="shared" si="2"/>
        <v>SLA Breach</v>
      </c>
      <c r="L49">
        <f t="shared" si="6"/>
        <v>7</v>
      </c>
    </row>
    <row r="50" spans="1:12" x14ac:dyDescent="0.35">
      <c r="A50" t="s">
        <v>145</v>
      </c>
      <c r="B50" t="s">
        <v>23</v>
      </c>
      <c r="C50" t="s">
        <v>146</v>
      </c>
      <c r="D50" s="1">
        <v>45428</v>
      </c>
      <c r="E50" s="1">
        <v>45432</v>
      </c>
      <c r="G50" t="s">
        <v>55</v>
      </c>
      <c r="H50" t="s">
        <v>21</v>
      </c>
      <c r="I50" s="2">
        <f t="shared" si="4"/>
        <v>4</v>
      </c>
      <c r="J50" s="2" t="str">
        <f t="shared" si="5"/>
        <v/>
      </c>
      <c r="K50" t="str">
        <f t="shared" si="2"/>
        <v>Pending</v>
      </c>
      <c r="L50" t="str">
        <f t="shared" si="6"/>
        <v/>
      </c>
    </row>
    <row r="51" spans="1:12" x14ac:dyDescent="0.35">
      <c r="A51" t="s">
        <v>147</v>
      </c>
      <c r="B51" t="s">
        <v>18</v>
      </c>
      <c r="C51" t="s">
        <v>148</v>
      </c>
      <c r="D51" s="1">
        <v>45430</v>
      </c>
      <c r="E51" s="1">
        <v>45434</v>
      </c>
      <c r="F51" s="1">
        <v>45437</v>
      </c>
      <c r="G51" t="s">
        <v>73</v>
      </c>
      <c r="H51" t="s">
        <v>12</v>
      </c>
      <c r="I51" s="2">
        <f t="shared" si="4"/>
        <v>4</v>
      </c>
      <c r="J51" s="2">
        <f t="shared" si="5"/>
        <v>7</v>
      </c>
      <c r="K51" t="str">
        <f t="shared" si="2"/>
        <v>SLA Breach</v>
      </c>
      <c r="L51">
        <f t="shared" si="6"/>
        <v>7</v>
      </c>
    </row>
  </sheetData>
  <conditionalFormatting sqref="K1:K1048576">
    <cfRule type="containsText" dxfId="5" priority="3" operator="containsText" text="Pending">
      <formula>NOT(ISERROR(SEARCH("Pending",K1)))</formula>
    </cfRule>
  </conditionalFormatting>
  <conditionalFormatting sqref="K2:K51">
    <cfRule type="containsText" dxfId="4" priority="2" operator="containsText" text="On Time">
      <formula>NOT(ISERROR(SEARCH("On Time",K2)))</formula>
    </cfRule>
  </conditionalFormatting>
  <conditionalFormatting sqref="K9:K51">
    <cfRule type="containsText" dxfId="1" priority="1" operator="containsText" text="SLA Breach">
      <formula>NOT(ISERROR(SEARCH("SLA Breach",K9)))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E46E-151E-46B4-BD9C-A472E99E66B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74C93-5E56-40D3-A8A0-D5E6DC3E34C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DAB3C-201B-478A-885E-81AC20D87187}">
  <dimension ref="B2:E3"/>
  <sheetViews>
    <sheetView workbookViewId="0">
      <selection activeCell="C10" sqref="C10"/>
    </sheetView>
  </sheetViews>
  <sheetFormatPr defaultRowHeight="14.5" x14ac:dyDescent="0.35"/>
  <cols>
    <col min="2" max="2" width="27.90625" customWidth="1"/>
    <col min="3" max="3" width="26" customWidth="1"/>
    <col min="4" max="4" width="22.6328125" customWidth="1"/>
    <col min="5" max="5" width="8.7265625" style="2"/>
  </cols>
  <sheetData>
    <row r="2" spans="2:4" ht="21" x14ac:dyDescent="0.5">
      <c r="B2" s="6" t="s">
        <v>158</v>
      </c>
      <c r="C2" s="6" t="s">
        <v>159</v>
      </c>
      <c r="D2" s="6" t="s">
        <v>160</v>
      </c>
    </row>
    <row r="3" spans="2:4" ht="21" x14ac:dyDescent="0.5">
      <c r="B3" s="6">
        <f>COUNTA(Raw_Data!A:A)-1</f>
        <v>50</v>
      </c>
      <c r="C3" s="6">
        <f>COUNTIF(Raw_Data!H:H,"Completed")</f>
        <v>35</v>
      </c>
      <c r="D3" s="6">
        <f>COUNTIF(Raw_Data!H:H,"Pending")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Status Summary</vt:lpstr>
      <vt:lpstr>SLA Performance</vt:lpstr>
      <vt:lpstr>Department Cycle Time</vt:lpstr>
      <vt:lpstr>Raw_Data</vt:lpstr>
      <vt:lpstr>Calculations</vt:lpstr>
      <vt:lpstr>Pivot_Summary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mehra</dc:creator>
  <cp:lastModifiedBy>ashish mehra</cp:lastModifiedBy>
  <dcterms:created xsi:type="dcterms:W3CDTF">2025-12-22T21:50:12Z</dcterms:created>
  <dcterms:modified xsi:type="dcterms:W3CDTF">2025-12-23T06:34:43Z</dcterms:modified>
</cp:coreProperties>
</file>